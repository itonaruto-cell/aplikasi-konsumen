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STER" sheetId="1" r:id="rId5"/>
    <sheet state="visible" name="Form Perjamuan" sheetId="2" r:id="rId6"/>
    <sheet state="visible" name="Dokumentasi &amp; NotaStruk" sheetId="3" r:id="rId7"/>
  </sheets>
  <definedNames/>
  <calcPr/>
</workbook>
</file>

<file path=xl/sharedStrings.xml><?xml version="1.0" encoding="utf-8"?>
<sst xmlns="http://schemas.openxmlformats.org/spreadsheetml/2006/main" count="147" uniqueCount="125">
  <si>
    <t>Bulan</t>
  </si>
  <si>
    <t>Product</t>
  </si>
  <si>
    <t>January</t>
  </si>
  <si>
    <t>Reguler</t>
  </si>
  <si>
    <t>February</t>
  </si>
  <si>
    <t>Motorku</t>
  </si>
  <si>
    <t>March</t>
  </si>
  <si>
    <t>Mobilku</t>
  </si>
  <si>
    <t>April</t>
  </si>
  <si>
    <t>Masku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</si>
  <si>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</si>
  <si>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</si>
  <si>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</si>
  <si>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</si>
  <si>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</si>
  <si>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</si>
  <si>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</si>
  <si>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</si>
  <si>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1. Nota/Kwitansi</t>
  </si>
  <si>
    <t xml:space="preserve">FORMULIR BIAYA ENTERTAIN / PERJAMUAN </t>
  </si>
  <si>
    <t>2. Dokumentasi</t>
  </si>
  <si>
    <t>325/MKT-KENDAL/X/2026</t>
  </si>
  <si>
    <t>Auto Calculate</t>
  </si>
  <si>
    <t xml:space="preserve">   </t>
  </si>
  <si>
    <t>Approved By</t>
  </si>
  <si>
    <t>Jabatan</t>
  </si>
  <si>
    <t>Product
(Cost Center)</t>
  </si>
  <si>
    <t>Total Nominal</t>
  </si>
  <si>
    <t>Approval Status</t>
  </si>
  <si>
    <t>Tanggal Approval</t>
  </si>
  <si>
    <t>Notes</t>
  </si>
  <si>
    <t>Muhammad Aji Susilo</t>
  </si>
  <si>
    <t>BRANCH HEAD KENDAL</t>
  </si>
  <si>
    <t>Submitted</t>
  </si>
  <si>
    <t>9 Oktober 2026</t>
  </si>
  <si>
    <t>Untik Hartanti</t>
  </si>
  <si>
    <t>AMM MOBILKU JATARA</t>
  </si>
  <si>
    <t>Approve</t>
  </si>
  <si>
    <t>09 Oktober 2026</t>
  </si>
  <si>
    <t xml:space="preserve">Review :
- terlogbook tgl 9 Okt 2026
- Perjamuan tamu Branch Head &amp; MH Mobilku dengan MA tgl 7 Okt 2026
- Nominal Realisasi Mobil Rp. 435.000
- Pencairan menggunakan saldo AOP Cab. Kendal, CC : Mobilku
- Terlampir summary hasil maintain pd row 54       </t>
  </si>
  <si>
    <t>Moga Mulya Saputra</t>
  </si>
  <si>
    <t>BU HEAD JATARA</t>
  </si>
  <si>
    <t xml:space="preserve">Approved </t>
  </si>
  <si>
    <t>Kartika Ayu N. Hutapea</t>
  </si>
  <si>
    <t>Marketing Operation Sub Division Head</t>
  </si>
  <si>
    <t xml:space="preserve">Isian Nama Approver, Jabatan, Product akan otomatis menyesuaikan dengan ketentuan nominal yg diisi pada tabel detail transaksi di bawah </t>
  </si>
  <si>
    <t>Sim Simadibrata</t>
  </si>
  <si>
    <t>Marketing Reguler Division Head</t>
  </si>
  <si>
    <t>TH Indah Prasetyaningsih</t>
  </si>
  <si>
    <t>NDS Motorcycle Division Head</t>
  </si>
  <si>
    <t>Mulyadi Alamsyah</t>
  </si>
  <si>
    <t>NDS Car Division Head</t>
  </si>
  <si>
    <t>Dimas Jagad Erlangga</t>
  </si>
  <si>
    <t>Kepala Unit Usaha Syariah</t>
  </si>
  <si>
    <t>Wibowo</t>
  </si>
  <si>
    <t>Marketing Director</t>
  </si>
  <si>
    <t>input hanya angka saja</t>
  </si>
  <si>
    <t>*Only Mkt Reguler :</t>
  </si>
  <si>
    <t>Tahun</t>
  </si>
  <si>
    <t>Target AOP Cabang (Unit)</t>
  </si>
  <si>
    <t>Sales Cabang (Unit)</t>
  </si>
  <si>
    <t>Ach. Sales</t>
  </si>
  <si>
    <t>Keterangan</t>
  </si>
  <si>
    <t>: BRANCH HEAD</t>
  </si>
  <si>
    <t xml:space="preserve">Cabang / Regional </t>
  </si>
  <si>
    <t>: KENDAL</t>
  </si>
  <si>
    <t>Periode Pengajuan</t>
  </si>
  <si>
    <t>: OKTOBER 2026</t>
  </si>
  <si>
    <t>Tanggal Pengajuan</t>
  </si>
  <si>
    <t>: 9 OKTOBER 2026</t>
  </si>
  <si>
    <t>No</t>
  </si>
  <si>
    <t>Tanggal</t>
  </si>
  <si>
    <t>Nama Tempat Perjamuan / Entertain</t>
  </si>
  <si>
    <t>Nominal</t>
  </si>
  <si>
    <t>Nama yang Menjamu</t>
  </si>
  <si>
    <t>Jabatan yang Menjamu</t>
  </si>
  <si>
    <t>Nama yang Dijamu</t>
  </si>
  <si>
    <t>Jabatan yang Dijamu</t>
  </si>
  <si>
    <t>Nama Perusahaan/Agent yang Dijamu</t>
  </si>
  <si>
    <t>Internal WOM</t>
  </si>
  <si>
    <t>Eksternal</t>
  </si>
  <si>
    <t>KAMPOENG RASA</t>
  </si>
  <si>
    <t>1. MUHAMMAD AJI SUSILO
2. NIKO WIDYASMARA</t>
  </si>
  <si>
    <t>1. BRANCH HEAD KENDAL
2. MARKETING HEAD MOBILKU</t>
  </si>
  <si>
    <t>1. ABDUL MANAF
2. NOVEL
3. BAYU
4. SULISTYO
5. SRI LESTARI
6. MAHRUS EFFENDI</t>
  </si>
  <si>
    <t>1. MARKETING 
2. SPV COLLECTION
3. ACCOUNT OFFICER</t>
  </si>
  <si>
    <t xml:space="preserve">1. ADIRA FINANCE
2. FIF
3. BPR AMS
</t>
  </si>
  <si>
    <t>Jumlah Total Perjamuan</t>
  </si>
  <si>
    <t>Keterangan :</t>
  </si>
  <si>
    <t>- Biaya yang tidak ditanggung oleh perusahaan adalah minuman mengandung alkohol, NAPZA, melanggar norma asusila, aktivitas karaoke, dan spa.</t>
  </si>
  <si>
    <r>
      <rPr>
        <rFont val="Arial"/>
        <color theme="1"/>
      </rPr>
      <t xml:space="preserve">- Penggunaan Tabel Performance Sales ini  hanya untuk </t>
    </r>
    <r>
      <rPr>
        <rFont val="Arial"/>
        <b/>
        <color theme="1"/>
      </rPr>
      <t xml:space="preserve">Product Marketing Reguler </t>
    </r>
    <r>
      <rPr>
        <rFont val="Arial"/>
        <color theme="1"/>
      </rPr>
      <t xml:space="preserve"> yang melakukan perjamuan tamu</t>
    </r>
  </si>
  <si>
    <r>
      <rPr>
        <rFont val="Arial"/>
        <color theme="1"/>
      </rPr>
      <t xml:space="preserve">- </t>
    </r>
    <r>
      <rPr>
        <rFont val="Arial"/>
        <b/>
        <color rgb="FF0000FF"/>
      </rPr>
      <t>Ach. Sales M-1 &lt; 75%</t>
    </r>
    <r>
      <rPr>
        <rFont val="Arial"/>
        <color theme="1"/>
      </rPr>
      <t xml:space="preserve"> terhadap Target AOP cabang dari suatu product, maka tidak dapat Claim jika suatu Perjamuan Dealer tidak dihadiri level BM Up</t>
    </r>
  </si>
  <si>
    <t>Dana tersebut dapat di transfer ke Data Rekening Berikut ini :</t>
  </si>
  <si>
    <t>Nama Rekening</t>
  </si>
  <si>
    <t>: MUHAMMAD AJI SUSILO</t>
  </si>
  <si>
    <t>Nomor Rekening</t>
  </si>
  <si>
    <t>: 8640453801</t>
  </si>
  <si>
    <t>Nama Bank</t>
  </si>
  <si>
    <t>: BCA</t>
  </si>
  <si>
    <t>Total Pengajuan</t>
  </si>
  <si>
    <t>Link Konfirmasi AOP :</t>
  </si>
  <si>
    <t>Form Konfirmasi Saldo AOP Entertain Kendal_Mobilku_7 Oktober 2026</t>
  </si>
  <si>
    <t>Link FPD :</t>
  </si>
  <si>
    <t>FPD IM Pengajuan ENTERTAIN MARKETING Kendal 7 Oktober  2026</t>
  </si>
  <si>
    <t>NAMA MA</t>
  </si>
  <si>
    <t>PLAN KONTRIBUSI</t>
  </si>
  <si>
    <t>KONTRIBUSI DI FINCOY LAIN</t>
  </si>
  <si>
    <t>HISTORICAL KONTRIBUSI DI WOM</t>
  </si>
  <si>
    <t>ABDUL MANAF</t>
  </si>
  <si>
    <t>1 MOBIL (100JT)</t>
  </si>
  <si>
    <t>MUF</t>
  </si>
  <si>
    <t>3 MOBIL (200JT+)</t>
  </si>
  <si>
    <t>NOVEL</t>
  </si>
  <si>
    <t>3 MOTOR</t>
  </si>
  <si>
    <t>-</t>
  </si>
  <si>
    <t>HITUNGAN MOTOR</t>
  </si>
  <si>
    <t>BAYU</t>
  </si>
  <si>
    <t>2 MOTOR</t>
  </si>
  <si>
    <t>GLV 1 MOTOR</t>
  </si>
  <si>
    <t>SULISTYO</t>
  </si>
  <si>
    <t>1 MOBIL 100JT</t>
  </si>
  <si>
    <t>HITUNGAN MOBIL</t>
  </si>
  <si>
    <t>SRI LESTARI</t>
  </si>
  <si>
    <t>100JT (MOBILKU)</t>
  </si>
  <si>
    <t>MAHRUS EFFENDI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</si>
</sst>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m yyyy"/>
    <numFmt numFmtId="165" formatCode="d mmm yyyy"/>
    <numFmt numFmtId="166" formatCode="#,##0;(#,##0)"/>
    <numFmt numFmtId="167" formatCode="[$Rp]#,##0"/>
  </numFmts>
  <fonts count="42">
    <font>
      <sz val="10.0"/>
      <color rgb="FF000000"/>
      <name val="Arial"/>
      <scheme val="minor"/>
    </font>
    <font>
      <color theme="1"/>
      <name val="Arial"/>
    </font>
    <font>
      <b/>
      <sz val="25.0"/>
      <color theme="1"/>
      <name val="Arial"/>
    </font>
    <font>
      <b/>
      <sz val="25.0"/>
      <color rgb="FF000000"/>
      <name val="Arial"/>
    </font>
    <font>
      <b/>
      <sz val="25.0"/>
      <color rgb="FFFFFFFF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sz val="25.0"/>
      <color theme="1"/>
      <name val="Arial"/>
    </font>
    <font>
      <b/>
      <sz val="12.0"/>
      <color rgb="FF000000"/>
      <name val="Arial"/>
    </font>
    <font>
      <b/>
      <sz val="12.0"/>
      <color rgb="FFFFFFFF"/>
      <name val="Arial"/>
    </font>
    <font>
      <i/>
      <sz val="9.0"/>
      <color rgb="FF0000FF"/>
      <name val="Arial"/>
    </font>
    <font>
      <sz val="11.0"/>
      <color theme="1"/>
      <name val="Arial"/>
    </font>
    <font>
      <sz val="11.0"/>
      <color rgb="FF000000"/>
      <name val="Arial"/>
    </font>
    <font>
      <sz val="11.0"/>
      <color rgb="FFFFFFFF"/>
      <name val="Arial"/>
    </font>
    <font>
      <b/>
      <sz val="11.0"/>
      <color theme="1"/>
      <name val="Arial"/>
    </font>
    <font>
      <i/>
      <sz val="11.0"/>
      <color theme="1"/>
      <name val="Arial"/>
    </font>
    <font>
      <sz val="11.0"/>
      <color rgb="FF0000FF"/>
      <name val="Arial"/>
    </font>
    <font>
      <b/>
      <sz val="11.0"/>
      <color rgb="FF0000FF"/>
      <name val="Arial"/>
    </font>
    <font>
      <color rgb="FF000000"/>
      <name val="Arial"/>
    </font>
    <font>
      <color rgb="FFFFFFFF"/>
      <name val="Arial"/>
    </font>
    <font>
      <i/>
      <sz val="9.0"/>
      <color theme="1"/>
      <name val="Arial"/>
    </font>
    <font>
      <b/>
      <i/>
      <color theme="1"/>
      <name val="Arial"/>
    </font>
    <font>
      <b/>
      <color theme="1"/>
      <name val="Arial"/>
    </font>
    <font>
      <b/>
      <sz val="11.0"/>
      <color rgb="FF000000"/>
      <name val="Arial"/>
    </font>
    <font>
      <b/>
      <sz val="11.0"/>
      <color rgb="FFFFFFFF"/>
      <name val="Arial"/>
    </font>
    <font>
      <b/>
      <sz val="13.0"/>
      <color theme="1"/>
      <name val="Arial"/>
    </font>
    <font>
      <b/>
      <sz val="13.0"/>
      <color rgb="FF000000"/>
      <name val="Arial"/>
    </font>
    <font>
      <b/>
      <sz val="13.0"/>
      <color rgb="FFFFFFFF"/>
      <name val="Arial"/>
    </font>
    <font>
      <b/>
      <color rgb="FF000000"/>
      <name val="Arial"/>
    </font>
    <font>
      <b/>
      <color rgb="FFFFFFFF"/>
      <name val="Arial"/>
    </font>
    <font>
      <b/>
      <i/>
      <sz val="10.0"/>
      <color theme="1"/>
      <name val="Arial"/>
    </font>
    <font>
      <b/>
      <i/>
      <sz val="10.0"/>
      <color rgb="FF000000"/>
      <name val="Arial"/>
    </font>
    <font>
      <b/>
      <i/>
      <sz val="10.0"/>
      <color rgb="FFFFFFFF"/>
      <name val="Arial"/>
    </font>
    <font>
      <sz val="10.0"/>
      <color theme="1"/>
      <name val="Calibri"/>
    </font>
    <font>
      <i/>
      <sz val="10.0"/>
      <color theme="1"/>
      <name val="Arial"/>
    </font>
    <font>
      <i/>
      <sz val="10.0"/>
      <color rgb="FF000000"/>
      <name val="Arial"/>
    </font>
    <font>
      <i/>
      <sz val="10.0"/>
      <color rgb="FFFFFFFF"/>
      <name val="Arial"/>
    </font>
    <font>
      <b/>
      <color rgb="FFFF0000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sz val="10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</fills>
  <borders count="29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shrinkToFit="0" vertical="center" wrapText="1"/>
    </xf>
    <xf borderId="2" fillId="0" fontId="6" numFmtId="0" xfId="0" applyBorder="1" applyFont="1"/>
    <xf borderId="3" fillId="0" fontId="7" numFmtId="0" xfId="0" applyAlignment="1" applyBorder="1" applyFont="1">
      <alignment vertical="center"/>
    </xf>
    <xf borderId="1" fillId="0" fontId="7" numFmtId="0" xfId="0" applyAlignment="1" applyBorder="1" applyFont="1">
      <alignment vertical="center"/>
    </xf>
    <xf borderId="3" fillId="0" fontId="6" numFmtId="0" xfId="0" applyBorder="1" applyFont="1"/>
    <xf borderId="0" fillId="0" fontId="8" numFmtId="0" xfId="0" applyAlignment="1" applyFont="1">
      <alignment horizontal="center" shrinkToFit="0" vertical="center" wrapText="1"/>
    </xf>
    <xf borderId="2" fillId="2" fontId="5" numFmtId="0" xfId="0" applyAlignment="1" applyBorder="1" applyFill="1" applyFont="1">
      <alignment horizontal="center" vertical="center"/>
    </xf>
    <xf borderId="0" fillId="0" fontId="7" numFmtId="0" xfId="0" applyAlignment="1" applyFont="1">
      <alignment vertical="center"/>
    </xf>
    <xf borderId="4" fillId="0" fontId="5" numFmtId="0" xfId="0" applyAlignment="1" applyBorder="1" applyFont="1">
      <alignment horizontal="center" readingOrder="0" shrinkToFit="0" vertical="center" wrapText="1"/>
    </xf>
    <xf borderId="5" fillId="0" fontId="6" numFmtId="0" xfId="0" applyBorder="1" applyFont="1"/>
    <xf borderId="6" fillId="3" fontId="1" numFmtId="0" xfId="0" applyAlignment="1" applyBorder="1" applyFill="1" applyFont="1">
      <alignment vertical="center"/>
    </xf>
    <xf borderId="7" fillId="3" fontId="1" numFmtId="0" xfId="0" applyAlignment="1" applyBorder="1" applyFill="1" applyFont="1">
      <alignment vertical="center"/>
    </xf>
    <xf borderId="0" fillId="0" fontId="5" numFmtId="0" xfId="0" applyAlignment="1" applyFont="1">
      <alignment horizontal="center" vertical="center"/>
    </xf>
    <xf borderId="8" fillId="0" fontId="7" numFmtId="0" xfId="0" applyAlignment="1" applyBorder="1" applyFont="1">
      <alignment vertical="center"/>
    </xf>
    <xf borderId="6" fillId="0" fontId="7" numFmtId="0" xfId="0" applyAlignment="1" applyBorder="1" applyFont="1">
      <alignment vertical="center"/>
    </xf>
    <xf borderId="0" fillId="0" fontId="9" numFmtId="0" xfId="0" applyAlignment="1" applyFont="1">
      <alignment horizontal="center" vertical="center"/>
    </xf>
    <xf borderId="8" fillId="3" fontId="1" numFmtId="0" xfId="0" applyAlignment="1" applyBorder="1" applyFill="1" applyFont="1">
      <alignment vertical="center"/>
    </xf>
    <xf borderId="0" fillId="0" fontId="10" numFmtId="0" xfId="0" applyAlignment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7" numFmtId="0" xfId="0" applyAlignment="1" applyBorder="1" applyFont="1">
      <alignment vertical="center"/>
    </xf>
    <xf borderId="0" fillId="0" fontId="11" numFmtId="0" xfId="0" applyAlignment="1" applyFont="1">
      <alignment horizontal="center" vertical="center"/>
    </xf>
    <xf borderId="2" fillId="0" fontId="7" numFmtId="0" xfId="0" applyAlignment="1" applyBorder="1" applyFont="1">
      <alignment vertical="center"/>
    </xf>
    <xf borderId="5" fillId="0" fontId="5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5" fillId="0" fontId="7" numFmtId="0" xfId="0" applyAlignment="1" applyBorder="1" applyFont="1">
      <alignment vertical="center"/>
    </xf>
    <xf borderId="9" fillId="4" fontId="5" numFmtId="0" xfId="0" applyAlignment="1" applyBorder="1" applyFill="1" applyFont="1">
      <alignment horizontal="center" vertical="center"/>
    </xf>
    <xf borderId="10" fillId="0" fontId="6" numFmtId="0" xfId="0" applyBorder="1" applyFont="1"/>
    <xf borderId="11" fillId="4" fontId="5" numFmtId="0" xfId="0" applyAlignment="1" applyBorder="1" applyFill="1" applyFont="1">
      <alignment horizontal="center" vertical="center"/>
    </xf>
    <xf borderId="12" fillId="0" fontId="6" numFmtId="0" xfId="0" applyBorder="1" applyFont="1"/>
    <xf borderId="13" fillId="4" fontId="5" numFmtId="0" xfId="0" applyAlignment="1" applyBorder="1" applyFill="1" applyFont="1">
      <alignment horizontal="center" vertical="center"/>
    </xf>
    <xf borderId="14" fillId="0" fontId="6" numFmtId="0" xfId="0" applyBorder="1" applyFont="1"/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9" fillId="0" fontId="12" numFmtId="0" xfId="0" applyAlignment="1" applyBorder="1" applyFont="1">
      <alignment horizontal="center" vertical="bottom"/>
    </xf>
    <xf borderId="11" fillId="0" fontId="12" numFmtId="0" xfId="0" applyAlignment="1" applyBorder="1" applyFont="1">
      <alignment horizontal="center" vertical="bottom"/>
    </xf>
    <xf borderId="13" fillId="5" fontId="15" numFmtId="0" xfId="0" applyAlignment="1" applyBorder="1" applyFill="1" applyFont="1">
      <alignment horizontal="center" vertical="center"/>
    </xf>
    <xf borderId="13" fillId="0" fontId="16" numFmtId="0" xfId="0" applyAlignment="1" applyBorder="1" applyFont="1">
      <alignment horizontal="center" readingOrder="0" vertical="center"/>
    </xf>
    <xf borderId="13" fillId="0" fontId="12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readingOrder="0" shrinkToFit="0" vertical="center" wrapText="1"/>
    </xf>
    <xf borderId="9" fillId="0" fontId="12" numFmtId="0" xfId="0" applyAlignment="1" applyBorder="1" applyFont="1">
      <alignment horizontal="center" vertical="center"/>
    </xf>
    <xf borderId="11" fillId="0" fontId="12" numFmtId="0" xfId="0" applyAlignment="1" applyBorder="1" applyFont="1">
      <alignment horizontal="center" readingOrder="0" vertical="center"/>
    </xf>
    <xf borderId="13" fillId="0" fontId="15" numFmtId="0" xfId="0" applyAlignment="1" applyBorder="1" applyFont="1">
      <alignment horizontal="center" readingOrder="0" vertical="center"/>
    </xf>
    <xf borderId="9" fillId="0" fontId="12" numFmtId="0" xfId="0" applyAlignment="1" applyBorder="1" applyFont="1">
      <alignment horizontal="center" readingOrder="0" vertical="center"/>
    </xf>
    <xf borderId="0" fillId="0" fontId="7" numFmtId="3" xfId="0" applyAlignment="1" applyFont="1" applyNumberFormat="1">
      <alignment vertical="center"/>
    </xf>
    <xf borderId="11" fillId="0" fontId="12" numFmtId="0" xfId="0" applyAlignment="1" applyBorder="1" applyFont="1">
      <alignment horizontal="center" vertical="center"/>
    </xf>
    <xf borderId="0" fillId="0" fontId="7" numFmtId="3" xfId="0" applyAlignment="1" applyFont="1" applyNumberFormat="1">
      <alignment readingOrder="0" vertical="center"/>
    </xf>
    <xf borderId="13" fillId="0" fontId="15" numFmtId="164" xfId="0" applyAlignment="1" applyBorder="1" applyFont="1" applyNumberFormat="1">
      <alignment horizontal="center" readingOrder="0" vertical="center"/>
    </xf>
    <xf borderId="11" fillId="0" fontId="1" numFmtId="0" xfId="0" applyAlignment="1" applyBorder="1" applyFont="1">
      <alignment vertical="center"/>
    </xf>
    <xf borderId="0" fillId="0" fontId="7" numFmtId="0" xfId="0" applyAlignment="1" applyFont="1">
      <alignment horizontal="left" vertical="center"/>
    </xf>
    <xf borderId="13" fillId="5" fontId="12" numFmtId="0" xfId="0" applyAlignment="1" applyBorder="1" applyFill="1" applyFont="1">
      <alignment horizontal="center" vertical="center"/>
    </xf>
    <xf borderId="13" fillId="0" fontId="12" numFmtId="0" xfId="0" applyAlignment="1" applyBorder="1" applyFont="1">
      <alignment horizontal="center" vertical="center"/>
    </xf>
    <xf borderId="13" fillId="0" fontId="12" numFmtId="165" xfId="0" applyAlignment="1" applyBorder="1" applyFont="1" applyNumberFormat="1">
      <alignment horizontal="center" vertical="center"/>
    </xf>
    <xf borderId="0" fillId="6" fontId="1" numFmtId="0" xfId="0" applyAlignment="1" applyFill="1" applyFont="1">
      <alignment shrinkToFit="0" vertical="center" wrapText="1"/>
    </xf>
    <xf borderId="4" fillId="0" fontId="7" numFmtId="3" xfId="0" applyAlignment="1" applyBorder="1" applyFont="1" applyNumberFormat="1">
      <alignment horizontal="right" readingOrder="0" vertical="center"/>
    </xf>
    <xf borderId="13" fillId="0" fontId="17" numFmtId="0" xfId="0" applyAlignment="1" applyBorder="1" applyFont="1">
      <alignment horizontal="center" shrinkToFit="0" vertical="center" wrapText="1"/>
    </xf>
    <xf borderId="13" fillId="0" fontId="18" numFmtId="166" xfId="0" applyAlignment="1" applyBorder="1" applyFont="1" applyNumberFormat="1">
      <alignment horizontal="right" shrinkToFit="0" vertical="center" wrapText="1"/>
    </xf>
    <xf borderId="13" fillId="0" fontId="17" numFmtId="0" xfId="0" applyAlignment="1" applyBorder="1" applyFont="1">
      <alignment horizontal="center" vertical="center"/>
    </xf>
    <xf borderId="7" fillId="0" fontId="7" numFmtId="0" xfId="0" applyAlignment="1" applyBorder="1" applyFont="1">
      <alignment vertical="center"/>
    </xf>
    <xf borderId="13" fillId="0" fontId="15" numFmtId="0" xfId="0" applyAlignment="1" applyBorder="1" applyFont="1">
      <alignment horizontal="center" vertical="center"/>
    </xf>
    <xf borderId="13" fillId="7" fontId="18" numFmtId="0" xfId="0" applyAlignment="1" applyBorder="1" applyFill="1" applyFont="1">
      <alignment horizontal="center" vertical="center"/>
    </xf>
    <xf borderId="13" fillId="7" fontId="18" numFmtId="166" xfId="0" applyAlignment="1" applyBorder="1" applyFill="1" applyFont="1" applyNumberFormat="1">
      <alignment horizontal="right" vertical="center"/>
    </xf>
    <xf borderId="0" fillId="0" fontId="19" numFmtId="0" xfId="0" applyAlignment="1" applyFont="1">
      <alignment vertical="center"/>
    </xf>
    <xf borderId="0" fillId="0" fontId="20" numFmtId="0" xfId="0" applyAlignment="1" applyFont="1">
      <alignment vertical="center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0" fillId="0" fontId="21" numFmtId="0" xfId="0" applyAlignment="1" applyFont="1">
      <alignment vertical="center"/>
    </xf>
    <xf borderId="4" fillId="0" fontId="1" numFmtId="0" xfId="0" applyAlignment="1" applyBorder="1" applyFont="1">
      <alignment horizontal="right" vertical="center"/>
    </xf>
    <xf borderId="0" fillId="0" fontId="22" numFmtId="0" xfId="0" applyAlignment="1" applyFont="1">
      <alignment horizontal="right" vertical="center"/>
    </xf>
    <xf borderId="13" fillId="6" fontId="23" numFmtId="0" xfId="0" applyAlignment="1" applyBorder="1" applyFill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3" fillId="4" fontId="1" numFmtId="10" xfId="0" applyAlignment="1" applyBorder="1" applyFill="1" applyFont="1" applyNumberFormat="1">
      <alignment horizontal="center" vertical="center"/>
    </xf>
    <xf borderId="13" fillId="4" fontId="1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shrinkToFit="0" vertical="center" wrapText="0"/>
    </xf>
    <xf borderId="0" fillId="0" fontId="24" numFmtId="0" xfId="0" applyAlignment="1" applyFont="1">
      <alignment shrinkToFit="0" vertical="center" wrapText="0"/>
    </xf>
    <xf borderId="0" fillId="0" fontId="25" numFmtId="0" xfId="0" applyAlignment="1" applyFont="1">
      <alignment shrinkToFit="0" vertical="center" wrapText="0"/>
    </xf>
    <xf borderId="4" fillId="0" fontId="15" numFmtId="0" xfId="0" applyAlignment="1" applyBorder="1" applyFont="1">
      <alignment shrinkToFit="0" vertical="center" wrapText="0"/>
    </xf>
    <xf borderId="0" fillId="0" fontId="15" numFmtId="0" xfId="0" applyAlignment="1" applyFont="1">
      <alignment readingOrder="0" vertical="center"/>
    </xf>
    <xf borderId="0" fillId="0" fontId="26" numFmtId="0" xfId="0" applyAlignment="1" applyFont="1">
      <alignment horizontal="center" shrinkToFit="0" vertical="center" wrapText="1"/>
    </xf>
    <xf borderId="0" fillId="0" fontId="27" numFmtId="0" xfId="0" applyAlignment="1" applyFont="1">
      <alignment horizontal="center" shrinkToFit="0" vertical="center" wrapText="1"/>
    </xf>
    <xf borderId="0" fillId="0" fontId="28" numFmtId="0" xfId="0" applyAlignment="1" applyFont="1">
      <alignment horizontal="center" shrinkToFit="0" vertical="center" wrapText="1"/>
    </xf>
    <xf borderId="4" fillId="0" fontId="26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5" fillId="0" fontId="15" numFmtId="0" xfId="0" applyAlignment="1" applyBorder="1" applyFont="1">
      <alignment horizontal="center" shrinkToFit="0" vertical="center" wrapText="1"/>
    </xf>
    <xf borderId="15" fillId="8" fontId="26" numFmtId="0" xfId="0" applyAlignment="1" applyBorder="1" applyFill="1" applyFont="1">
      <alignment horizontal="center" shrinkToFit="0" vertical="center" wrapText="1"/>
    </xf>
    <xf borderId="16" fillId="8" fontId="15" numFmtId="0" xfId="0" applyAlignment="1" applyBorder="1" applyFill="1" applyFont="1">
      <alignment horizontal="center" shrinkToFit="0" vertical="center" wrapText="1"/>
    </xf>
    <xf borderId="13" fillId="8" fontId="15" numFmtId="0" xfId="0" applyAlignment="1" applyBorder="1" applyFill="1" applyFont="1">
      <alignment horizontal="center" shrinkToFit="0" vertical="center" wrapText="1"/>
    </xf>
    <xf borderId="11" fillId="8" fontId="15" numFmtId="0" xfId="0" applyAlignment="1" applyBorder="1" applyFill="1" applyFont="1">
      <alignment horizontal="center" shrinkToFit="0" vertical="center" wrapText="1"/>
    </xf>
    <xf borderId="17" fillId="8" fontId="15" numFmtId="0" xfId="0" applyAlignment="1" applyBorder="1" applyFill="1" applyFont="1">
      <alignment horizontal="center" shrinkToFit="0" vertical="center" wrapText="1"/>
    </xf>
    <xf borderId="18" fillId="0" fontId="6" numFmtId="0" xfId="0" applyBorder="1" applyFont="1"/>
    <xf borderId="19" fillId="0" fontId="6" numFmtId="0" xfId="0" applyBorder="1" applyFont="1"/>
    <xf borderId="11" fillId="4" fontId="23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9" numFmtId="0" xfId="0" applyAlignment="1" applyFont="1">
      <alignment horizontal="center" vertical="center"/>
    </xf>
    <xf borderId="0" fillId="0" fontId="20" numFmtId="0" xfId="0" applyAlignment="1" applyFont="1">
      <alignment horizontal="center" vertical="center"/>
    </xf>
    <xf borderId="20" fillId="0" fontId="1" numFmtId="0" xfId="0" applyAlignment="1" applyBorder="1" applyFont="1">
      <alignment horizontal="center" vertical="center"/>
    </xf>
    <xf borderId="13" fillId="0" fontId="1" numFmtId="14" xfId="0" applyAlignment="1" applyBorder="1" applyFont="1" applyNumberFormat="1">
      <alignment readingOrder="0" vertical="center"/>
    </xf>
    <xf borderId="13" fillId="0" fontId="1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readingOrder="0" vertical="center"/>
    </xf>
    <xf borderId="13" fillId="0" fontId="12" numFmtId="166" xfId="0" applyAlignment="1" applyBorder="1" applyFont="1" applyNumberFormat="1">
      <alignment readingOrder="0" vertical="center"/>
    </xf>
    <xf borderId="13" fillId="0" fontId="1" numFmtId="0" xfId="0" applyAlignment="1" applyBorder="1" applyFont="1">
      <alignment horizontal="left" readingOrder="0" shrinkToFit="0" vertical="center" wrapText="1"/>
    </xf>
    <xf borderId="13" fillId="0" fontId="12" numFmtId="0" xfId="0" applyAlignment="1" applyBorder="1" applyFont="1">
      <alignment readingOrder="0" vertical="center"/>
    </xf>
    <xf borderId="11" fillId="0" fontId="12" numFmtId="0" xfId="0" applyAlignment="1" applyBorder="1" applyFont="1">
      <alignment readingOrder="0" shrinkToFit="0" vertical="center" wrapText="1"/>
    </xf>
    <xf borderId="17" fillId="0" fontId="12" numFmtId="0" xfId="0" applyAlignment="1" applyBorder="1" applyFont="1">
      <alignment readingOrder="0" shrinkToFit="0" vertical="top" wrapText="1"/>
    </xf>
    <xf borderId="13" fillId="0" fontId="1" numFmtId="166" xfId="0" applyAlignment="1" applyBorder="1" applyFont="1" applyNumberFormat="1">
      <alignment readingOrder="0" vertical="center"/>
    </xf>
    <xf borderId="11" fillId="0" fontId="1" numFmtId="0" xfId="0" applyAlignment="1" applyBorder="1" applyFont="1">
      <alignment readingOrder="0" vertical="center"/>
    </xf>
    <xf borderId="17" fillId="0" fontId="1" numFmtId="0" xfId="0" applyAlignment="1" applyBorder="1" applyFont="1">
      <alignment readingOrder="0" vertical="center"/>
    </xf>
    <xf borderId="13" fillId="0" fontId="1" numFmtId="0" xfId="0" applyAlignment="1" applyBorder="1" applyFont="1">
      <alignment vertical="center"/>
    </xf>
    <xf borderId="13" fillId="0" fontId="1" numFmtId="166" xfId="0" applyAlignment="1" applyBorder="1" applyFont="1" applyNumberFormat="1">
      <alignment vertical="center"/>
    </xf>
    <xf borderId="17" fillId="0" fontId="1" numFmtId="0" xfId="0" applyAlignment="1" applyBorder="1" applyFont="1">
      <alignment vertical="center"/>
    </xf>
    <xf borderId="0" fillId="0" fontId="23" numFmtId="0" xfId="0" applyAlignment="1" applyFont="1">
      <alignment horizontal="center" vertical="center"/>
    </xf>
    <xf borderId="0" fillId="0" fontId="29" numFmtId="0" xfId="0" applyAlignment="1" applyFont="1">
      <alignment horizontal="center" vertical="center"/>
    </xf>
    <xf borderId="0" fillId="0" fontId="30" numFmtId="0" xfId="0" applyAlignment="1" applyFont="1">
      <alignment horizontal="center" vertical="center"/>
    </xf>
    <xf borderId="9" fillId="8" fontId="23" numFmtId="0" xfId="0" applyAlignment="1" applyBorder="1" applyFill="1" applyFont="1">
      <alignment horizontal="center" vertical="center"/>
    </xf>
    <xf borderId="13" fillId="8" fontId="23" numFmtId="166" xfId="0" applyAlignment="1" applyBorder="1" applyFill="1" applyFont="1" applyNumberFormat="1">
      <alignment vertical="center"/>
    </xf>
    <xf borderId="0" fillId="0" fontId="31" numFmtId="0" xfId="0" applyAlignment="1" applyFont="1">
      <alignment shrinkToFit="0" vertical="center" wrapText="0"/>
    </xf>
    <xf borderId="0" fillId="0" fontId="32" numFmtId="0" xfId="0" applyAlignment="1" applyFont="1">
      <alignment shrinkToFit="0" vertical="center" wrapText="0"/>
    </xf>
    <xf borderId="0" fillId="0" fontId="33" numFmtId="0" xfId="0" applyAlignment="1" applyFont="1">
      <alignment shrinkToFit="0" vertical="center" wrapText="0"/>
    </xf>
    <xf borderId="4" fillId="0" fontId="31" numFmtId="0" xfId="0" applyAlignment="1" applyBorder="1" applyFont="1">
      <alignment shrinkToFit="0" vertical="center" wrapText="0"/>
    </xf>
    <xf borderId="0" fillId="0" fontId="34" numFmtId="0" xfId="0" applyAlignment="1" applyFont="1">
      <alignment vertical="center"/>
    </xf>
    <xf borderId="5" fillId="0" fontId="34" numFmtId="0" xfId="0" applyAlignment="1" applyBorder="1" applyFont="1">
      <alignment vertical="center"/>
    </xf>
    <xf borderId="0" fillId="0" fontId="35" numFmtId="0" xfId="0" applyAlignment="1" applyFont="1">
      <alignment shrinkToFit="0" vertical="center" wrapText="0"/>
    </xf>
    <xf borderId="0" fillId="0" fontId="36" numFmtId="0" xfId="0" applyAlignment="1" applyFont="1">
      <alignment shrinkToFit="0" vertical="center" wrapText="0"/>
    </xf>
    <xf borderId="0" fillId="0" fontId="37" numFmtId="0" xfId="0" applyAlignment="1" applyFont="1">
      <alignment shrinkToFit="0" vertical="center" wrapText="0"/>
    </xf>
    <xf borderId="4" fillId="0" fontId="35" numFmtId="0" xfId="0" applyAlignment="1" applyBorder="1" applyFont="1">
      <alignment shrinkToFit="0" vertical="center" wrapText="0"/>
    </xf>
    <xf borderId="0" fillId="0" fontId="23" numFmtId="0" xfId="0" applyAlignment="1" applyFont="1">
      <alignment vertical="center"/>
    </xf>
    <xf borderId="0" fillId="0" fontId="29" numFmtId="0" xfId="0" applyAlignment="1" applyFont="1">
      <alignment vertical="center"/>
    </xf>
    <xf borderId="0" fillId="0" fontId="30" numFmtId="0" xfId="0" applyAlignment="1" applyFont="1">
      <alignment vertical="center"/>
    </xf>
    <xf borderId="4" fillId="0" fontId="23" numFmtId="0" xfId="0" applyAlignment="1" applyBorder="1" applyFont="1">
      <alignment vertical="center"/>
    </xf>
    <xf borderId="0" fillId="0" fontId="23" numFmtId="0" xfId="0" applyAlignment="1" applyFont="1">
      <alignment readingOrder="0" vertical="center"/>
    </xf>
    <xf borderId="0" fillId="0" fontId="23" numFmtId="167" xfId="0" applyAlignment="1" applyFont="1" applyNumberFormat="1">
      <alignment horizontal="left" vertical="center"/>
    </xf>
    <xf borderId="6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21" fillId="0" fontId="38" numFmtId="0" xfId="0" applyAlignment="1" applyBorder="1" applyFont="1">
      <alignment readingOrder="0" vertical="center"/>
    </xf>
    <xf borderId="22" fillId="0" fontId="7" numFmtId="0" xfId="0" applyAlignment="1" applyBorder="1" applyFont="1">
      <alignment vertical="center"/>
    </xf>
    <xf borderId="22" fillId="0" fontId="39" numFmtId="0" xfId="0" applyAlignment="1" applyBorder="1" applyFont="1">
      <alignment readingOrder="0" vertical="center"/>
    </xf>
    <xf borderId="22" fillId="0" fontId="6" numFmtId="0" xfId="0" applyBorder="1" applyFont="1"/>
    <xf borderId="23" fillId="0" fontId="7" numFmtId="0" xfId="0" applyAlignment="1" applyBorder="1" applyFont="1">
      <alignment vertical="center"/>
    </xf>
    <xf borderId="24" fillId="0" fontId="38" numFmtId="0" xfId="0" applyAlignment="1" applyBorder="1" applyFont="1">
      <alignment readingOrder="0" vertical="center"/>
    </xf>
    <xf borderId="0" fillId="0" fontId="7" numFmtId="0" xfId="0" applyAlignment="1" applyFont="1">
      <alignment readingOrder="0" vertical="center"/>
    </xf>
    <xf borderId="25" fillId="0" fontId="7" numFmtId="0" xfId="0" applyAlignment="1" applyBorder="1" applyFont="1">
      <alignment vertical="center"/>
    </xf>
    <xf borderId="0" fillId="0" fontId="40" numFmtId="0" xfId="0" applyAlignment="1" applyFont="1">
      <alignment readingOrder="0" vertical="center"/>
    </xf>
    <xf borderId="26" fillId="0" fontId="7" numFmtId="0" xfId="0" applyAlignment="1" applyBorder="1" applyFont="1">
      <alignment vertical="center"/>
    </xf>
    <xf borderId="27" fillId="0" fontId="7" numFmtId="0" xfId="0" applyAlignment="1" applyBorder="1" applyFont="1">
      <alignment vertical="center"/>
    </xf>
    <xf borderId="28" fillId="0" fontId="7" numFmtId="0" xfId="0" applyAlignment="1" applyBorder="1" applyFont="1">
      <alignment vertical="center"/>
    </xf>
    <xf borderId="13" fillId="9" fontId="23" numFmtId="0" xfId="0" applyAlignment="1" applyBorder="1" applyFill="1" applyFont="1">
      <alignment horizontal="center" shrinkToFit="0" vertical="center" wrapText="1"/>
    </xf>
    <xf borderId="13" fillId="0" fontId="41" numFmtId="0" xfId="0" applyAlignment="1" applyBorder="1" applyFont="1">
      <alignment readingOrder="0" vertical="bottom"/>
    </xf>
    <xf borderId="13" fillId="0" fontId="7" numFmtId="0" xfId="0" applyAlignment="1" applyBorder="1" applyFont="1">
      <alignment readingOrder="0" vertical="center"/>
    </xf>
  </cellXfs>
  <cellStyles count="1">
    <cellStyle xfId="0" name="Normal" builtinId="0"/>
  </cellStyles>
  <dxfs count="1">
    <dxf>
      <font>
        <color rgb="FF000000"/>
      </font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_opgwZxcWpQITAomNfuxZZndxe1hGuOksk5bAC4Mqg/edit?usp=sharing" TargetMode="External"/><Relationship Id="rId2" Type="http://schemas.openxmlformats.org/officeDocument/2006/relationships/hyperlink" Target="https://docs.google.com/spreadsheets/d/1var8bLxz2lFgT9G0-4hjwiuhMpgYkowRFgv03yp5m80/edit?usp=sharing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3">
      <c r="B3" s="1" t="s">
        <v>0</v>
      </c>
      <c r="D3" s="1" t="s">
        <v>1</v>
      </c>
    </row>
    <row r="4">
      <c r="B4" s="1" t="s">
        <v>2</v>
      </c>
      <c r="D4" s="1" t="s">
        <v>3</v>
      </c>
    </row>
    <row r="5">
      <c r="B5" s="1" t="s">
        <v>4</v>
      </c>
      <c r="D5" s="1" t="s">
        <v>5</v>
      </c>
    </row>
    <row r="6">
      <c r="B6" s="1" t="s">
        <v>6</v>
      </c>
      <c r="D6" s="1" t="s">
        <v>7</v>
      </c>
    </row>
    <row r="7">
      <c r="B7" s="1" t="s">
        <v>8</v>
      </c>
      <c r="D7" s="1" t="s">
        <v>9</v>
      </c>
    </row>
    <row r="8">
      <c r="B8" s="1" t="s">
        <v>10</v>
      </c>
    </row>
    <row r="9">
      <c r="B9" s="1" t="s">
        <v>11</v>
      </c>
    </row>
    <row r="10">
      <c r="B10" s="1" t="s">
        <v>12</v>
      </c>
    </row>
    <row r="11">
      <c r="B11" s="1" t="s">
        <v>13</v>
      </c>
    </row>
    <row r="12">
      <c r="B12" s="1" t="s">
        <v>14</v>
      </c>
    </row>
    <row r="13">
      <c r="B13" s="1" t="s">
        <v>15</v>
      </c>
    </row>
    <row r="14">
      <c r="B14" s="1" t="s">
        <v>16</v>
      </c>
    </row>
    <row r="15">
      <c r="B15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3.25"/>
    <col customWidth="1" hidden="1" min="3" max="3" width="14.75"/>
    <col customWidth="1" min="4" max="4" width="22.13"/>
    <col customWidth="1" min="5" max="5" width="37.13"/>
    <col customWidth="1" min="6" max="6" width="33.13"/>
    <col customWidth="1" min="7" max="7" width="38.25"/>
    <col customWidth="1" min="8" max="8" width="23.13"/>
    <col customWidth="1" min="9" max="9" width="22.88"/>
    <col customWidth="1" min="10" max="10" width="25.88"/>
    <col customWidth="1" min="11" max="11" width="20.63"/>
    <col customWidth="1" min="12" max="12" width="23.88"/>
    <col customWidth="1" min="13" max="13" width="24.63"/>
  </cols>
  <sheetData>
    <row r="1">
      <c r="A1" s="2"/>
      <c r="B1" s="3"/>
      <c r="C1" s="4"/>
      <c r="D1" s="6" t="s">
        <v>19</v>
      </c>
      <c r="E1" s="7"/>
      <c r="F1" s="7"/>
      <c r="G1" s="7"/>
      <c r="H1" s="7"/>
      <c r="I1" s="7"/>
      <c r="J1" s="7"/>
      <c r="K1" s="7"/>
      <c r="L1" s="7"/>
      <c r="M1" s="10"/>
      <c r="N1" s="11"/>
      <c r="O1" s="11"/>
      <c r="P1" s="11"/>
      <c r="Q1" s="11"/>
      <c r="R1" s="11"/>
      <c r="S1" s="11"/>
      <c r="T1" s="11"/>
      <c r="U1" s="13"/>
      <c r="V1" s="13"/>
      <c r="W1" s="13"/>
      <c r="X1" s="13"/>
      <c r="Y1" s="13"/>
      <c r="Z1" s="13"/>
    </row>
    <row r="2">
      <c r="A2" s="2"/>
      <c r="B2" s="3"/>
      <c r="C2" s="4"/>
      <c r="D2" s="14" t="s">
        <v>21</v>
      </c>
      <c r="M2" s="15"/>
      <c r="N2" s="11"/>
      <c r="O2" s="11"/>
      <c r="P2" s="11"/>
      <c r="Q2" s="11"/>
      <c r="R2" s="11"/>
      <c r="S2" s="11"/>
      <c r="T2" s="11"/>
      <c r="U2" s="13"/>
      <c r="V2" s="13"/>
      <c r="W2" s="13"/>
      <c r="X2" s="13"/>
      <c r="Y2" s="13"/>
      <c r="Z2" s="13"/>
    </row>
    <row r="3">
      <c r="A3" s="18"/>
      <c r="B3" s="21"/>
      <c r="C3" s="23"/>
      <c r="D3" s="24"/>
      <c r="E3" s="18"/>
      <c r="F3" s="18"/>
      <c r="G3" s="18"/>
      <c r="H3" s="18"/>
      <c r="I3" s="26" t="s">
        <v>22</v>
      </c>
      <c r="J3" s="18"/>
      <c r="K3" s="18"/>
      <c r="L3" s="13"/>
      <c r="M3" s="28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42.0" customHeight="1">
      <c r="A4" s="18"/>
      <c r="B4" s="21"/>
      <c r="C4" s="23"/>
      <c r="D4" s="31" t="s">
        <v>24</v>
      </c>
      <c r="E4" s="32"/>
      <c r="F4" s="33" t="s">
        <v>25</v>
      </c>
      <c r="G4" s="34"/>
      <c r="H4" s="35" t="s">
        <v>26</v>
      </c>
      <c r="I4" s="35" t="s">
        <v>27</v>
      </c>
      <c r="J4" s="35" t="s">
        <v>28</v>
      </c>
      <c r="K4" s="35" t="s">
        <v>29</v>
      </c>
      <c r="L4" s="33" t="s">
        <v>30</v>
      </c>
      <c r="M4" s="36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28.5" customHeight="1">
      <c r="A5" s="37"/>
      <c r="B5" s="38"/>
      <c r="C5" s="39"/>
      <c r="D5" s="40" t="s">
        <v>31</v>
      </c>
      <c r="E5" s="32"/>
      <c r="F5" s="41" t="s">
        <v>32</v>
      </c>
      <c r="G5" s="32"/>
      <c r="H5" s="42"/>
      <c r="I5" s="42"/>
      <c r="J5" s="43" t="s">
        <v>33</v>
      </c>
      <c r="K5" s="44" t="s">
        <v>34</v>
      </c>
      <c r="L5" s="45"/>
      <c r="M5" s="36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37"/>
      <c r="B6" s="38"/>
      <c r="C6" s="38"/>
      <c r="D6" s="46" t="s">
        <v>35</v>
      </c>
      <c r="E6" s="32"/>
      <c r="F6" s="47" t="s">
        <v>36</v>
      </c>
      <c r="G6" s="32"/>
      <c r="H6" s="42"/>
      <c r="I6" s="42"/>
      <c r="J6" s="48" t="s">
        <v>37</v>
      </c>
      <c r="K6" s="48" t="s">
        <v>38</v>
      </c>
      <c r="L6" s="45" t="s">
        <v>39</v>
      </c>
      <c r="M6" s="36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27.75" customHeight="1">
      <c r="A7" s="37"/>
      <c r="B7" s="38"/>
      <c r="C7" s="38"/>
      <c r="D7" s="49" t="s">
        <v>40</v>
      </c>
      <c r="E7" s="32"/>
      <c r="F7" s="51" t="s">
        <v>41</v>
      </c>
      <c r="G7" s="32"/>
      <c r="H7" s="42"/>
      <c r="I7" s="42"/>
      <c r="J7" s="48" t="s">
        <v>42</v>
      </c>
      <c r="K7" s="53">
        <v>46305.0</v>
      </c>
      <c r="L7" s="54"/>
      <c r="M7" s="36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75" customHeight="1">
      <c r="A8" s="37"/>
      <c r="B8" s="38"/>
      <c r="C8" s="38" t="str">
        <f>IF(OR(I9&gt;1000000,I10&gt;1000000,I11&gt;1000000, I12&gt;1000000, I13&gt;1000000),"muncul","tidak muncul")</f>
        <v>tidak muncul</v>
      </c>
      <c r="D8" s="46" t="s">
        <v>43</v>
      </c>
      <c r="E8" s="32"/>
      <c r="F8" s="51" t="s">
        <v>44</v>
      </c>
      <c r="G8" s="34"/>
      <c r="H8" s="56"/>
      <c r="I8" s="56"/>
      <c r="J8" s="57"/>
      <c r="K8" s="58"/>
      <c r="L8" s="54"/>
      <c r="M8" s="36"/>
      <c r="N8" s="59" t="s">
        <v>45</v>
      </c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75" customHeight="1">
      <c r="A9" s="37"/>
      <c r="B9" s="38"/>
      <c r="C9" s="38" t="str">
        <f t="shared" ref="C9:C12" si="1">if(I9=0,"Tidak Muncul",if($I$13&gt;=1500000, "Muncul",if(I9&lt;1000001,"Tidak Muncul",if(I9&gt;1000001,"Muncul","error"))))</f>
        <v>Tidak Muncul</v>
      </c>
      <c r="D9" s="46" t="s">
        <v>46</v>
      </c>
      <c r="E9" s="32"/>
      <c r="F9" s="51" t="s">
        <v>47</v>
      </c>
      <c r="G9" s="34"/>
      <c r="H9" s="61" t="s">
        <v>3</v>
      </c>
      <c r="I9" s="62">
        <f t="shared" ref="I9:I12" si="2">SUMIFS($H$26:$H984,$F$26:$F984,H9)</f>
        <v>0</v>
      </c>
      <c r="J9" s="57"/>
      <c r="K9" s="58"/>
      <c r="L9" s="54"/>
      <c r="M9" s="36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75" customHeight="1">
      <c r="A10" s="37"/>
      <c r="B10" s="38"/>
      <c r="C10" s="38" t="str">
        <f t="shared" si="1"/>
        <v>Tidak Muncul</v>
      </c>
      <c r="D10" s="46" t="s">
        <v>48</v>
      </c>
      <c r="E10" s="32"/>
      <c r="F10" s="51" t="s">
        <v>49</v>
      </c>
      <c r="G10" s="34"/>
      <c r="H10" s="61" t="s">
        <v>5</v>
      </c>
      <c r="I10" s="62">
        <f t="shared" si="2"/>
        <v>0</v>
      </c>
      <c r="J10" s="63"/>
      <c r="K10" s="63"/>
      <c r="L10" s="54"/>
      <c r="M10" s="36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5.75" customHeight="1">
      <c r="A11" s="37"/>
      <c r="B11" s="38"/>
      <c r="C11" s="38" t="str">
        <f t="shared" si="1"/>
        <v>Tidak Muncul</v>
      </c>
      <c r="D11" s="46" t="s">
        <v>50</v>
      </c>
      <c r="E11" s="32"/>
      <c r="F11" s="51" t="s">
        <v>51</v>
      </c>
      <c r="G11" s="34"/>
      <c r="H11" s="61" t="s">
        <v>7</v>
      </c>
      <c r="I11" s="62">
        <f t="shared" si="2"/>
        <v>435000</v>
      </c>
      <c r="J11" s="65"/>
      <c r="K11" s="65"/>
      <c r="L11" s="54"/>
      <c r="M11" s="36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5.75" customHeight="1">
      <c r="A12" s="37"/>
      <c r="B12" s="38"/>
      <c r="C12" s="38" t="str">
        <f t="shared" si="1"/>
        <v>Tidak Muncul</v>
      </c>
      <c r="D12" s="46" t="s">
        <v>52</v>
      </c>
      <c r="E12" s="32"/>
      <c r="F12" s="51" t="s">
        <v>53</v>
      </c>
      <c r="G12" s="34"/>
      <c r="H12" s="61" t="s">
        <v>9</v>
      </c>
      <c r="I12" s="62">
        <f t="shared" si="2"/>
        <v>0</v>
      </c>
      <c r="J12" s="65"/>
      <c r="K12" s="65"/>
      <c r="L12" s="54"/>
      <c r="M12" s="36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75" customHeight="1">
      <c r="A13" s="37"/>
      <c r="B13" s="38"/>
      <c r="C13" s="38" t="str">
        <f>if(I13=0,"Tidak Muncul",if($I$13&gt;1500000, "Muncul",if(I13&lt;1500001,"Tidak Muncul","error")))</f>
        <v>Tidak Muncul</v>
      </c>
      <c r="D13" s="46" t="s">
        <v>54</v>
      </c>
      <c r="E13" s="32"/>
      <c r="F13" s="51" t="s">
        <v>55</v>
      </c>
      <c r="G13" s="34"/>
      <c r="H13" s="66" t="s">
        <v>27</v>
      </c>
      <c r="I13" s="67">
        <f>SUM(I9:I12)</f>
        <v>435000</v>
      </c>
      <c r="J13" s="57"/>
      <c r="K13" s="58"/>
      <c r="L13" s="54"/>
      <c r="M13" s="36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75" customHeight="1">
      <c r="A14" s="29"/>
      <c r="B14" s="68"/>
      <c r="C14" s="69"/>
      <c r="D14" s="70"/>
      <c r="E14" s="13"/>
      <c r="F14" s="13"/>
      <c r="G14" s="13"/>
      <c r="H14" s="13"/>
      <c r="I14" s="13"/>
      <c r="J14" s="13"/>
      <c r="K14" s="13"/>
      <c r="L14" s="13"/>
      <c r="M14" s="71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5.75" customHeight="1">
      <c r="A15" s="13"/>
      <c r="B15" s="68"/>
      <c r="C15" s="69"/>
      <c r="D15" s="70"/>
      <c r="E15" s="13"/>
      <c r="F15" s="72"/>
      <c r="G15" s="26" t="s">
        <v>56</v>
      </c>
      <c r="H15" s="26"/>
      <c r="I15" s="26" t="s">
        <v>56</v>
      </c>
      <c r="J15" s="26" t="s">
        <v>56</v>
      </c>
      <c r="K15" s="26" t="s">
        <v>22</v>
      </c>
      <c r="L15" s="26" t="s">
        <v>22</v>
      </c>
      <c r="M15" s="71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5.75" customHeight="1">
      <c r="A16" s="13"/>
      <c r="B16" s="68"/>
      <c r="C16" s="69"/>
      <c r="D16" s="73"/>
      <c r="E16" s="74" t="s">
        <v>57</v>
      </c>
      <c r="F16" s="75" t="s">
        <v>0</v>
      </c>
      <c r="G16" s="75" t="s">
        <v>58</v>
      </c>
      <c r="H16" s="75" t="s">
        <v>1</v>
      </c>
      <c r="I16" s="75" t="s">
        <v>59</v>
      </c>
      <c r="J16" s="75" t="s">
        <v>60</v>
      </c>
      <c r="K16" s="75" t="s">
        <v>61</v>
      </c>
      <c r="L16" s="75" t="s">
        <v>62</v>
      </c>
      <c r="M16" s="71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38.25" customHeight="1">
      <c r="A17" s="13"/>
      <c r="B17" s="68"/>
      <c r="C17" s="69"/>
      <c r="D17" s="70"/>
      <c r="F17" s="76"/>
      <c r="G17" s="76"/>
      <c r="H17" s="76"/>
      <c r="I17" s="76"/>
      <c r="J17" s="76"/>
      <c r="K17" s="77" t="str">
        <f>IFERROR(J17/I17,"")</f>
        <v/>
      </c>
      <c r="L17" s="78" t="str">
        <f>IFS(ISBLANK(I17), "", ISBLANK(J17), "", K17 &gt;= 0.75, "Claim", K17 &lt; 0.75, "Not Claim jika Suatu Perjamuan Tamu tidak dihadiri level BM Up")
</f>
        <v/>
      </c>
      <c r="M17" s="71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75" customHeight="1">
      <c r="A18" s="13"/>
      <c r="B18" s="68"/>
      <c r="C18" s="69"/>
      <c r="D18" s="70"/>
      <c r="E18" s="13"/>
      <c r="F18" s="13"/>
      <c r="G18" s="13"/>
      <c r="H18" s="13"/>
      <c r="I18" s="13"/>
      <c r="J18" s="13"/>
      <c r="K18" s="13"/>
      <c r="L18" s="13"/>
      <c r="M18" s="71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5.75" customHeight="1">
      <c r="A19" s="79"/>
      <c r="B19" s="80"/>
      <c r="C19" s="81"/>
      <c r="D19" s="82" t="s">
        <v>25</v>
      </c>
      <c r="F19" s="83" t="s">
        <v>63</v>
      </c>
      <c r="M19" s="15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5.75" customHeight="1">
      <c r="A20" s="79"/>
      <c r="B20" s="80"/>
      <c r="C20" s="81"/>
      <c r="D20" s="82" t="s">
        <v>64</v>
      </c>
      <c r="F20" s="83" t="s">
        <v>65</v>
      </c>
      <c r="M20" s="15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79"/>
      <c r="B21" s="80"/>
      <c r="C21" s="81"/>
      <c r="D21" s="82" t="s">
        <v>66</v>
      </c>
      <c r="F21" s="83" t="s">
        <v>67</v>
      </c>
      <c r="M21" s="15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79"/>
      <c r="B22" s="80"/>
      <c r="C22" s="81"/>
      <c r="D22" s="82" t="s">
        <v>68</v>
      </c>
      <c r="F22" s="83" t="s">
        <v>69</v>
      </c>
      <c r="M22" s="15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84"/>
      <c r="B23" s="85"/>
      <c r="C23" s="86"/>
      <c r="D23" s="87"/>
      <c r="E23" s="88"/>
      <c r="F23" s="88"/>
      <c r="G23" s="88"/>
      <c r="H23" s="26" t="s">
        <v>56</v>
      </c>
      <c r="I23" s="88"/>
      <c r="J23" s="88"/>
      <c r="K23" s="88"/>
      <c r="L23" s="88"/>
      <c r="M23" s="89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84"/>
      <c r="B24" s="85"/>
      <c r="C24" s="86"/>
      <c r="D24" s="90" t="s">
        <v>70</v>
      </c>
      <c r="E24" s="91" t="s">
        <v>71</v>
      </c>
      <c r="F24" s="91" t="s">
        <v>1</v>
      </c>
      <c r="G24" s="91" t="s">
        <v>72</v>
      </c>
      <c r="H24" s="91" t="s">
        <v>73</v>
      </c>
      <c r="I24" s="92" t="s">
        <v>74</v>
      </c>
      <c r="J24" s="92" t="s">
        <v>75</v>
      </c>
      <c r="K24" s="92" t="s">
        <v>76</v>
      </c>
      <c r="L24" s="93" t="s">
        <v>77</v>
      </c>
      <c r="M24" s="94" t="s">
        <v>78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84"/>
      <c r="B25" s="85"/>
      <c r="C25" s="86"/>
      <c r="D25" s="95"/>
      <c r="E25" s="96"/>
      <c r="F25" s="96"/>
      <c r="G25" s="96"/>
      <c r="H25" s="96"/>
      <c r="I25" s="97" t="s">
        <v>79</v>
      </c>
      <c r="J25" s="32"/>
      <c r="K25" s="97" t="s">
        <v>80</v>
      </c>
      <c r="L25" s="34"/>
      <c r="M25" s="36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98"/>
      <c r="B26" s="99"/>
      <c r="C26" s="100"/>
      <c r="D26" s="101">
        <v>1.0</v>
      </c>
      <c r="E26" s="102">
        <v>46302.0</v>
      </c>
      <c r="F26" s="103" t="s">
        <v>7</v>
      </c>
      <c r="G26" s="104" t="s">
        <v>81</v>
      </c>
      <c r="H26" s="105">
        <v>435000.0</v>
      </c>
      <c r="I26" s="106" t="s">
        <v>82</v>
      </c>
      <c r="J26" s="104" t="s">
        <v>83</v>
      </c>
      <c r="K26" s="107" t="s">
        <v>84</v>
      </c>
      <c r="L26" s="108" t="s">
        <v>85</v>
      </c>
      <c r="M26" s="109" t="s">
        <v>86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98"/>
      <c r="B27" s="99"/>
      <c r="C27" s="100"/>
      <c r="D27" s="101">
        <v>2.0</v>
      </c>
      <c r="E27" s="102"/>
      <c r="F27" s="103"/>
      <c r="G27" s="107"/>
      <c r="H27" s="110"/>
      <c r="I27" s="106"/>
      <c r="J27" s="104"/>
      <c r="K27" s="104"/>
      <c r="L27" s="111"/>
      <c r="M27" s="112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98"/>
      <c r="B28" s="99"/>
      <c r="C28" s="100"/>
      <c r="D28" s="101">
        <v>3.0</v>
      </c>
      <c r="E28" s="102"/>
      <c r="F28" s="103"/>
      <c r="G28" s="104"/>
      <c r="H28" s="110"/>
      <c r="I28" s="104"/>
      <c r="J28" s="104"/>
      <c r="K28" s="104"/>
      <c r="L28" s="111"/>
      <c r="M28" s="112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98"/>
      <c r="B29" s="99"/>
      <c r="C29" s="100"/>
      <c r="D29" s="101">
        <v>4.0</v>
      </c>
      <c r="E29" s="113"/>
      <c r="F29" s="76"/>
      <c r="G29" s="113"/>
      <c r="H29" s="114"/>
      <c r="I29" s="113"/>
      <c r="J29" s="113"/>
      <c r="K29" s="113"/>
      <c r="L29" s="54"/>
      <c r="M29" s="115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98"/>
      <c r="B30" s="99"/>
      <c r="C30" s="100"/>
      <c r="D30" s="101">
        <v>5.0</v>
      </c>
      <c r="E30" s="113"/>
      <c r="F30" s="76"/>
      <c r="G30" s="113"/>
      <c r="H30" s="114"/>
      <c r="I30" s="113"/>
      <c r="J30" s="113"/>
      <c r="K30" s="113"/>
      <c r="L30" s="54"/>
      <c r="M30" s="115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98"/>
      <c r="B31" s="99"/>
      <c r="C31" s="100"/>
      <c r="D31" s="101">
        <v>6.0</v>
      </c>
      <c r="E31" s="113"/>
      <c r="F31" s="76"/>
      <c r="G31" s="113"/>
      <c r="H31" s="114"/>
      <c r="I31" s="113"/>
      <c r="J31" s="113"/>
      <c r="K31" s="113"/>
      <c r="L31" s="54"/>
      <c r="M31" s="115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16"/>
      <c r="B32" s="117"/>
      <c r="C32" s="118"/>
      <c r="D32" s="119" t="s">
        <v>87</v>
      </c>
      <c r="E32" s="34"/>
      <c r="F32" s="34"/>
      <c r="G32" s="32"/>
      <c r="H32" s="120">
        <f>sum(H26:H31)</f>
        <v>435000</v>
      </c>
      <c r="I32" s="54"/>
      <c r="J32" s="34"/>
      <c r="K32" s="34"/>
      <c r="L32" s="34"/>
      <c r="M32" s="36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21"/>
      <c r="B33" s="122"/>
      <c r="C33" s="123"/>
      <c r="D33" s="124" t="s">
        <v>88</v>
      </c>
      <c r="E33" s="125"/>
      <c r="F33" s="125"/>
      <c r="G33" s="125"/>
      <c r="H33" s="125"/>
      <c r="I33" s="125"/>
      <c r="J33" s="125"/>
      <c r="K33" s="125"/>
      <c r="L33" s="125"/>
      <c r="M33" s="126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27"/>
      <c r="B34" s="128"/>
      <c r="C34" s="129"/>
      <c r="D34" s="130" t="s">
        <v>89</v>
      </c>
      <c r="E34" s="125"/>
      <c r="F34" s="125"/>
      <c r="G34" s="125"/>
      <c r="H34" s="125"/>
      <c r="I34" s="125"/>
      <c r="J34" s="125"/>
      <c r="K34" s="125"/>
      <c r="L34" s="125"/>
      <c r="M34" s="126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29"/>
      <c r="B35" s="68"/>
      <c r="C35" s="69"/>
      <c r="D35" s="70" t="s">
        <v>90</v>
      </c>
      <c r="E35" s="13"/>
      <c r="F35" s="13"/>
      <c r="G35" s="13"/>
      <c r="H35" s="13"/>
      <c r="I35" s="13"/>
      <c r="J35" s="13"/>
      <c r="K35" s="13"/>
      <c r="L35" s="13"/>
      <c r="M35" s="71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29"/>
      <c r="B36" s="68"/>
      <c r="C36" s="69"/>
      <c r="D36" s="70" t="s">
        <v>91</v>
      </c>
      <c r="E36" s="13"/>
      <c r="F36" s="13"/>
      <c r="G36" s="13"/>
      <c r="H36" s="13"/>
      <c r="I36" s="13"/>
      <c r="J36" s="13"/>
      <c r="K36" s="13"/>
      <c r="L36" s="13"/>
      <c r="M36" s="71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29"/>
      <c r="B37" s="68"/>
      <c r="C37" s="69"/>
      <c r="D37" s="70"/>
      <c r="E37" s="13"/>
      <c r="F37" s="13"/>
      <c r="G37" s="13"/>
      <c r="H37" s="13"/>
      <c r="I37" s="13"/>
      <c r="J37" s="13"/>
      <c r="K37" s="13"/>
      <c r="L37" s="13"/>
      <c r="M37" s="71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29"/>
      <c r="B38" s="68"/>
      <c r="C38" s="69"/>
      <c r="D38" s="70"/>
      <c r="E38" s="13"/>
      <c r="F38" s="13"/>
      <c r="G38" s="13"/>
      <c r="H38" s="13"/>
      <c r="I38" s="13"/>
      <c r="J38" s="13"/>
      <c r="K38" s="13"/>
      <c r="L38" s="13"/>
      <c r="M38" s="71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131"/>
      <c r="B39" s="132"/>
      <c r="C39" s="133"/>
      <c r="D39" s="134" t="s">
        <v>92</v>
      </c>
      <c r="E39" s="131"/>
      <c r="F39" s="131"/>
      <c r="G39" s="13"/>
      <c r="H39" s="13"/>
      <c r="I39" s="13"/>
      <c r="J39" s="13"/>
      <c r="K39" s="13"/>
      <c r="L39" s="13"/>
      <c r="M39" s="71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131"/>
      <c r="B40" s="132"/>
      <c r="C40" s="133"/>
      <c r="D40" s="134" t="s">
        <v>93</v>
      </c>
      <c r="F40" s="135" t="s">
        <v>94</v>
      </c>
      <c r="G40" s="131"/>
      <c r="H40" s="131"/>
      <c r="I40" s="13"/>
      <c r="J40" s="13"/>
      <c r="K40" s="13"/>
      <c r="L40" s="13"/>
      <c r="M40" s="71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131"/>
      <c r="B41" s="132"/>
      <c r="C41" s="133"/>
      <c r="D41" s="134" t="s">
        <v>95</v>
      </c>
      <c r="F41" s="135" t="s">
        <v>96</v>
      </c>
      <c r="G41" s="131"/>
      <c r="H41" s="131"/>
      <c r="I41" s="13"/>
      <c r="J41" s="13"/>
      <c r="K41" s="13"/>
      <c r="L41" s="13"/>
      <c r="M41" s="71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131"/>
      <c r="B42" s="132"/>
      <c r="C42" s="133"/>
      <c r="D42" s="134" t="s">
        <v>97</v>
      </c>
      <c r="F42" s="135" t="s">
        <v>98</v>
      </c>
      <c r="G42" s="131"/>
      <c r="H42" s="131"/>
      <c r="I42" s="13"/>
      <c r="J42" s="13"/>
      <c r="K42" s="13"/>
      <c r="L42" s="13"/>
      <c r="M42" s="71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131"/>
      <c r="B43" s="132"/>
      <c r="C43" s="133"/>
      <c r="D43" s="134" t="s">
        <v>99</v>
      </c>
      <c r="F43" s="136">
        <f>H32</f>
        <v>435000</v>
      </c>
      <c r="I43" s="13"/>
      <c r="J43" s="13"/>
      <c r="K43" s="13"/>
      <c r="L43" s="13"/>
      <c r="M43" s="71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29"/>
      <c r="B44" s="68"/>
      <c r="C44" s="69"/>
      <c r="D44" s="70"/>
      <c r="E44" s="13"/>
      <c r="F44" s="13"/>
      <c r="G44" s="13"/>
      <c r="H44" s="13"/>
      <c r="I44" s="13"/>
      <c r="J44" s="13"/>
      <c r="K44" s="13"/>
      <c r="L44" s="13"/>
      <c r="M44" s="71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13"/>
      <c r="B45" s="68"/>
      <c r="C45" s="69"/>
      <c r="D45" s="137"/>
      <c r="E45" s="138"/>
      <c r="F45" s="138"/>
      <c r="G45" s="138"/>
      <c r="H45" s="138"/>
      <c r="I45" s="138"/>
      <c r="J45" s="138"/>
      <c r="K45" s="138"/>
      <c r="L45" s="138"/>
      <c r="M45" s="139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13"/>
      <c r="B46" s="68"/>
      <c r="C46" s="69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13"/>
      <c r="B47" s="68"/>
      <c r="C47" s="69"/>
      <c r="D47" s="140" t="s">
        <v>100</v>
      </c>
      <c r="E47" s="141"/>
      <c r="F47" s="142" t="s">
        <v>101</v>
      </c>
      <c r="G47" s="143"/>
      <c r="H47" s="141"/>
      <c r="I47" s="141"/>
      <c r="J47" s="141"/>
      <c r="K47" s="141"/>
      <c r="L47" s="141"/>
      <c r="M47" s="144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13"/>
      <c r="B48" s="68"/>
      <c r="C48" s="69"/>
      <c r="D48" s="145"/>
      <c r="E48" s="13"/>
      <c r="F48" s="146"/>
      <c r="H48" s="13"/>
      <c r="I48" s="13"/>
      <c r="J48" s="13"/>
      <c r="K48" s="13"/>
      <c r="L48" s="13"/>
      <c r="M48" s="147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13"/>
      <c r="B49" s="68"/>
      <c r="C49" s="69"/>
      <c r="D49" s="145" t="s">
        <v>102</v>
      </c>
      <c r="E49" s="13"/>
      <c r="F49" s="148" t="s">
        <v>103</v>
      </c>
      <c r="H49" s="13"/>
      <c r="I49" s="13"/>
      <c r="J49" s="13"/>
      <c r="K49" s="13"/>
      <c r="L49" s="13"/>
      <c r="M49" s="147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3"/>
      <c r="B50" s="68"/>
      <c r="C50" s="69"/>
      <c r="D50" s="149"/>
      <c r="E50" s="150"/>
      <c r="F50" s="150"/>
      <c r="G50" s="150"/>
      <c r="H50" s="150"/>
      <c r="I50" s="150"/>
      <c r="J50" s="150"/>
      <c r="K50" s="150"/>
      <c r="L50" s="150"/>
      <c r="M50" s="151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3"/>
      <c r="B51" s="68"/>
      <c r="C51" s="69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13"/>
      <c r="B52" s="68"/>
      <c r="C52" s="69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13"/>
      <c r="B53" s="68"/>
      <c r="C53" s="69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30.0" customHeight="1">
      <c r="A54" s="13"/>
      <c r="B54" s="68"/>
      <c r="C54" s="69"/>
      <c r="D54" s="152" t="s">
        <v>104</v>
      </c>
      <c r="E54" s="152" t="s">
        <v>105</v>
      </c>
      <c r="F54" s="152" t="s">
        <v>106</v>
      </c>
      <c r="G54" s="152" t="s">
        <v>107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13"/>
      <c r="B55" s="68"/>
      <c r="C55" s="69"/>
      <c r="D55" s="153" t="s">
        <v>108</v>
      </c>
      <c r="E55" s="153" t="s">
        <v>109</v>
      </c>
      <c r="F55" s="153" t="s">
        <v>110</v>
      </c>
      <c r="G55" s="153" t="s">
        <v>111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3"/>
      <c r="B56" s="68"/>
      <c r="C56" s="69"/>
      <c r="D56" s="153" t="s">
        <v>112</v>
      </c>
      <c r="E56" s="153" t="s">
        <v>113</v>
      </c>
      <c r="F56" s="153" t="s">
        <v>114</v>
      </c>
      <c r="G56" s="153" t="s">
        <v>115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3"/>
      <c r="B57" s="68"/>
      <c r="C57" s="69"/>
      <c r="D57" s="154" t="s">
        <v>116</v>
      </c>
      <c r="E57" s="154" t="s">
        <v>117</v>
      </c>
      <c r="F57" s="154" t="s">
        <v>114</v>
      </c>
      <c r="G57" s="154" t="s">
        <v>118</v>
      </c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</row>
    <row r="58" ht="15.75" customHeight="1">
      <c r="A58" s="13"/>
      <c r="B58" s="68"/>
      <c r="C58" s="69"/>
      <c r="D58" s="154" t="s">
        <v>119</v>
      </c>
      <c r="E58" s="154" t="s">
        <v>120</v>
      </c>
      <c r="F58" s="154" t="s">
        <v>114</v>
      </c>
      <c r="G58" s="154" t="s">
        <v>121</v>
      </c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13"/>
      <c r="B59" s="68"/>
      <c r="C59" s="69"/>
      <c r="D59" s="154" t="s">
        <v>122</v>
      </c>
      <c r="E59" s="154" t="s">
        <v>120</v>
      </c>
      <c r="F59" s="154" t="s">
        <v>114</v>
      </c>
      <c r="G59" s="154" t="s">
        <v>123</v>
      </c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13"/>
      <c r="B60" s="68"/>
      <c r="C60" s="69"/>
      <c r="D60" s="154" t="s">
        <v>124</v>
      </c>
      <c r="E60" s="154" t="s">
        <v>113</v>
      </c>
      <c r="F60" s="154" t="s">
        <v>114</v>
      </c>
      <c r="G60" s="154" t="s">
        <v>118</v>
      </c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13"/>
      <c r="B61" s="68"/>
      <c r="C61" s="69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3"/>
      <c r="B62" s="68"/>
      <c r="C62" s="69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3"/>
      <c r="B63" s="68"/>
      <c r="C63" s="69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3"/>
      <c r="B64" s="68"/>
      <c r="C64" s="69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3"/>
      <c r="B65" s="68"/>
      <c r="C65" s="69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3"/>
      <c r="B66" s="68"/>
      <c r="C66" s="69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13"/>
      <c r="B67" s="68"/>
      <c r="C67" s="69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3"/>
      <c r="B68" s="68"/>
      <c r="C68" s="69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13"/>
      <c r="B69" s="68"/>
      <c r="C69" s="69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13"/>
      <c r="B70" s="68"/>
      <c r="C70" s="69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3"/>
      <c r="B71" s="68"/>
      <c r="C71" s="69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3"/>
      <c r="B72" s="68"/>
      <c r="C72" s="69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13"/>
      <c r="B73" s="68"/>
      <c r="C73" s="69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3"/>
      <c r="B74" s="68"/>
      <c r="C74" s="69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3"/>
      <c r="B75" s="68"/>
      <c r="C75" s="69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3"/>
      <c r="B76" s="68"/>
      <c r="C76" s="69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13"/>
      <c r="B77" s="68"/>
      <c r="C77" s="69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3"/>
      <c r="B78" s="68"/>
      <c r="C78" s="69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13"/>
      <c r="B79" s="68"/>
      <c r="C79" s="69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13"/>
      <c r="B80" s="68"/>
      <c r="C80" s="69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13"/>
      <c r="B81" s="68"/>
      <c r="C81" s="69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13"/>
      <c r="B82" s="68"/>
      <c r="C82" s="69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13"/>
      <c r="B83" s="68"/>
      <c r="C83" s="69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13"/>
      <c r="B84" s="68"/>
      <c r="C84" s="69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13"/>
      <c r="B85" s="68"/>
      <c r="C85" s="69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13"/>
      <c r="B86" s="68"/>
      <c r="C86" s="69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13"/>
      <c r="B87" s="68"/>
      <c r="C87" s="69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3"/>
      <c r="B88" s="68"/>
      <c r="C88" s="69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3"/>
      <c r="B89" s="68"/>
      <c r="C89" s="69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3"/>
      <c r="B90" s="68"/>
      <c r="C90" s="69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3"/>
      <c r="B91" s="68"/>
      <c r="C91" s="69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3"/>
      <c r="B92" s="68"/>
      <c r="C92" s="69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3"/>
      <c r="B93" s="68"/>
      <c r="C93" s="69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3"/>
      <c r="B94" s="68"/>
      <c r="C94" s="69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3"/>
      <c r="B95" s="68"/>
      <c r="C95" s="69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3"/>
      <c r="B96" s="68"/>
      <c r="C96" s="69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3"/>
      <c r="B97" s="68"/>
      <c r="C97" s="69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3"/>
      <c r="B98" s="68"/>
      <c r="C98" s="69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3"/>
      <c r="B99" s="68"/>
      <c r="C99" s="69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3"/>
      <c r="B100" s="68"/>
      <c r="C100" s="69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3"/>
      <c r="B101" s="68"/>
      <c r="C101" s="69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3"/>
      <c r="B102" s="68"/>
      <c r="C102" s="69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3"/>
      <c r="B103" s="68"/>
      <c r="C103" s="69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3"/>
      <c r="B104" s="68"/>
      <c r="C104" s="69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3"/>
      <c r="B105" s="68"/>
      <c r="C105" s="69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3"/>
      <c r="B106" s="68"/>
      <c r="C106" s="69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3"/>
      <c r="B107" s="68"/>
      <c r="C107" s="69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3"/>
      <c r="B108" s="68"/>
      <c r="C108" s="69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3"/>
      <c r="B109" s="68"/>
      <c r="C109" s="69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3"/>
      <c r="B110" s="68"/>
      <c r="C110" s="69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3"/>
      <c r="B111" s="68"/>
      <c r="C111" s="69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3"/>
      <c r="B112" s="68"/>
      <c r="C112" s="69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3"/>
      <c r="B113" s="68"/>
      <c r="C113" s="69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3"/>
      <c r="B114" s="68"/>
      <c r="C114" s="69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3"/>
      <c r="B115" s="68"/>
      <c r="C115" s="69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3"/>
      <c r="B116" s="68"/>
      <c r="C116" s="69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3"/>
      <c r="B117" s="68"/>
      <c r="C117" s="69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3"/>
      <c r="B118" s="68"/>
      <c r="C118" s="69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3"/>
      <c r="B119" s="68"/>
      <c r="C119" s="69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3"/>
      <c r="B120" s="68"/>
      <c r="C120" s="69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3"/>
      <c r="B121" s="68"/>
      <c r="C121" s="69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3"/>
      <c r="B122" s="68"/>
      <c r="C122" s="69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3"/>
      <c r="B123" s="68"/>
      <c r="C123" s="69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3"/>
      <c r="B124" s="68"/>
      <c r="C124" s="69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3"/>
      <c r="B125" s="68"/>
      <c r="C125" s="69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3"/>
      <c r="B126" s="68"/>
      <c r="C126" s="69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3"/>
      <c r="B127" s="68"/>
      <c r="C127" s="69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3"/>
      <c r="B128" s="68"/>
      <c r="C128" s="69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3"/>
      <c r="B129" s="68"/>
      <c r="C129" s="69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3"/>
      <c r="B130" s="68"/>
      <c r="C130" s="69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3"/>
      <c r="B131" s="68"/>
      <c r="C131" s="69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3"/>
      <c r="B132" s="68"/>
      <c r="C132" s="69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3"/>
      <c r="B133" s="68"/>
      <c r="C133" s="69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3"/>
      <c r="B134" s="68"/>
      <c r="C134" s="69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3"/>
      <c r="B135" s="68"/>
      <c r="C135" s="69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3"/>
      <c r="B136" s="68"/>
      <c r="C136" s="69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3"/>
      <c r="B137" s="68"/>
      <c r="C137" s="69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3"/>
      <c r="B138" s="68"/>
      <c r="C138" s="69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3"/>
      <c r="B139" s="68"/>
      <c r="C139" s="69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3"/>
      <c r="B140" s="68"/>
      <c r="C140" s="69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3"/>
      <c r="B141" s="68"/>
      <c r="C141" s="69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3"/>
      <c r="B142" s="68"/>
      <c r="C142" s="69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3"/>
      <c r="B143" s="68"/>
      <c r="C143" s="69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3"/>
      <c r="B144" s="68"/>
      <c r="C144" s="69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3"/>
      <c r="B145" s="68"/>
      <c r="C145" s="69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3"/>
      <c r="B146" s="68"/>
      <c r="C146" s="69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3"/>
      <c r="B147" s="68"/>
      <c r="C147" s="69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3"/>
      <c r="B148" s="68"/>
      <c r="C148" s="69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3"/>
      <c r="B149" s="68"/>
      <c r="C149" s="69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3"/>
      <c r="B150" s="68"/>
      <c r="C150" s="69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3"/>
      <c r="B151" s="68"/>
      <c r="C151" s="69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3"/>
      <c r="B152" s="68"/>
      <c r="C152" s="69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3"/>
      <c r="B153" s="68"/>
      <c r="C153" s="69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3"/>
      <c r="B154" s="68"/>
      <c r="C154" s="69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3"/>
      <c r="B155" s="68"/>
      <c r="C155" s="69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3"/>
      <c r="B156" s="68"/>
      <c r="C156" s="69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3"/>
      <c r="B157" s="68"/>
      <c r="C157" s="69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3"/>
      <c r="B158" s="68"/>
      <c r="C158" s="69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3"/>
      <c r="B159" s="68"/>
      <c r="C159" s="69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3"/>
      <c r="B160" s="68"/>
      <c r="C160" s="69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3"/>
      <c r="B161" s="68"/>
      <c r="C161" s="69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3"/>
      <c r="B162" s="68"/>
      <c r="C162" s="69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3"/>
      <c r="B163" s="68"/>
      <c r="C163" s="69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3"/>
      <c r="B164" s="68"/>
      <c r="C164" s="69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3"/>
      <c r="B165" s="68"/>
      <c r="C165" s="69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3"/>
      <c r="B166" s="68"/>
      <c r="C166" s="69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3"/>
      <c r="B167" s="68"/>
      <c r="C167" s="69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3"/>
      <c r="B168" s="68"/>
      <c r="C168" s="69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3"/>
      <c r="B169" s="68"/>
      <c r="C169" s="69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3"/>
      <c r="B170" s="68"/>
      <c r="C170" s="69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3"/>
      <c r="B171" s="68"/>
      <c r="C171" s="69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3"/>
      <c r="B172" s="68"/>
      <c r="C172" s="69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3"/>
      <c r="B173" s="68"/>
      <c r="C173" s="69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3"/>
      <c r="B174" s="68"/>
      <c r="C174" s="69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3"/>
      <c r="B175" s="68"/>
      <c r="C175" s="69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3"/>
      <c r="B176" s="68"/>
      <c r="C176" s="69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3"/>
      <c r="B177" s="68"/>
      <c r="C177" s="69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3"/>
      <c r="B178" s="68"/>
      <c r="C178" s="69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3"/>
      <c r="B179" s="68"/>
      <c r="C179" s="69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3"/>
      <c r="B180" s="68"/>
      <c r="C180" s="69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3"/>
      <c r="B181" s="68"/>
      <c r="C181" s="69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3"/>
      <c r="B182" s="68"/>
      <c r="C182" s="69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3"/>
      <c r="B183" s="68"/>
      <c r="C183" s="69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3"/>
      <c r="B184" s="68"/>
      <c r="C184" s="69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3"/>
      <c r="B185" s="68"/>
      <c r="C185" s="69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3"/>
      <c r="B186" s="68"/>
      <c r="C186" s="69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3"/>
      <c r="B187" s="68"/>
      <c r="C187" s="69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3"/>
      <c r="B188" s="68"/>
      <c r="C188" s="69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3"/>
      <c r="B189" s="68"/>
      <c r="C189" s="69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3"/>
      <c r="B190" s="68"/>
      <c r="C190" s="69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3"/>
      <c r="B191" s="68"/>
      <c r="C191" s="69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3"/>
      <c r="B192" s="68"/>
      <c r="C192" s="69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/>
      <c r="B193" s="68"/>
      <c r="C193" s="69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/>
      <c r="B194" s="68"/>
      <c r="C194" s="69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/>
      <c r="B195" s="68"/>
      <c r="C195" s="69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/>
      <c r="B196" s="68"/>
      <c r="C196" s="69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/>
      <c r="B197" s="68"/>
      <c r="C197" s="69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/>
      <c r="B198" s="68"/>
      <c r="C198" s="69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/>
      <c r="B199" s="68"/>
      <c r="C199" s="69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/>
      <c r="B200" s="68"/>
      <c r="C200" s="69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3"/>
      <c r="B201" s="68"/>
      <c r="C201" s="69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3"/>
      <c r="B202" s="68"/>
      <c r="C202" s="69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3"/>
      <c r="B203" s="68"/>
      <c r="C203" s="69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3"/>
      <c r="B204" s="68"/>
      <c r="C204" s="69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3"/>
      <c r="B205" s="68"/>
      <c r="C205" s="69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3"/>
      <c r="B206" s="68"/>
      <c r="C206" s="69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3"/>
      <c r="B207" s="68"/>
      <c r="C207" s="69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3"/>
      <c r="B208" s="68"/>
      <c r="C208" s="69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3"/>
      <c r="B209" s="68"/>
      <c r="C209" s="69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3"/>
      <c r="B210" s="68"/>
      <c r="C210" s="69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3"/>
      <c r="B211" s="68"/>
      <c r="C211" s="69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3"/>
      <c r="B212" s="68"/>
      <c r="C212" s="69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3"/>
      <c r="B213" s="68"/>
      <c r="C213" s="69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3"/>
      <c r="B214" s="68"/>
      <c r="C214" s="69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3"/>
      <c r="B215" s="68"/>
      <c r="C215" s="69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3"/>
      <c r="B216" s="68"/>
      <c r="C216" s="69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3"/>
      <c r="B217" s="68"/>
      <c r="C217" s="69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3"/>
      <c r="B218" s="68"/>
      <c r="C218" s="69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3"/>
      <c r="B219" s="68"/>
      <c r="C219" s="69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3"/>
      <c r="B220" s="68"/>
      <c r="C220" s="69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13"/>
      <c r="B221" s="68"/>
      <c r="C221" s="69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13"/>
      <c r="B222" s="68"/>
      <c r="C222" s="69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13"/>
      <c r="B223" s="68"/>
      <c r="C223" s="69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13"/>
      <c r="B224" s="68"/>
      <c r="C224" s="69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13"/>
      <c r="B225" s="68"/>
      <c r="C225" s="69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13"/>
      <c r="B226" s="68"/>
      <c r="C226" s="69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13"/>
      <c r="B227" s="68"/>
      <c r="C227" s="69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75" customHeight="1">
      <c r="A228" s="13"/>
      <c r="B228" s="68"/>
      <c r="C228" s="69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75" customHeight="1">
      <c r="A229" s="13"/>
      <c r="B229" s="68"/>
      <c r="C229" s="69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13"/>
      <c r="B230" s="68"/>
      <c r="C230" s="69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13"/>
      <c r="B231" s="68"/>
      <c r="C231" s="69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13"/>
      <c r="B232" s="68"/>
      <c r="C232" s="69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13"/>
      <c r="B233" s="68"/>
      <c r="C233" s="69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/>
      <c r="B234" s="68"/>
      <c r="C234" s="69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68"/>
      <c r="C235" s="69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68"/>
      <c r="C236" s="69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68"/>
      <c r="C237" s="69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</sheetData>
  <mergeCells count="59">
    <mergeCell ref="F48:G48"/>
    <mergeCell ref="F49:G49"/>
    <mergeCell ref="D32:G32"/>
    <mergeCell ref="D40:E40"/>
    <mergeCell ref="D41:E41"/>
    <mergeCell ref="D42:E42"/>
    <mergeCell ref="D43:E43"/>
    <mergeCell ref="F43:H43"/>
    <mergeCell ref="F47:G47"/>
    <mergeCell ref="D1:M1"/>
    <mergeCell ref="D2:M2"/>
    <mergeCell ref="D4:E4"/>
    <mergeCell ref="F4:G4"/>
    <mergeCell ref="L4:M4"/>
    <mergeCell ref="F5:G5"/>
    <mergeCell ref="L5:M5"/>
    <mergeCell ref="D5:E5"/>
    <mergeCell ref="D6:E6"/>
    <mergeCell ref="F6:G6"/>
    <mergeCell ref="D7:E7"/>
    <mergeCell ref="F7:G7"/>
    <mergeCell ref="D8:E8"/>
    <mergeCell ref="F8:G8"/>
    <mergeCell ref="D9:E9"/>
    <mergeCell ref="F9:G9"/>
    <mergeCell ref="D10:E10"/>
    <mergeCell ref="F10:G10"/>
    <mergeCell ref="D11:E11"/>
    <mergeCell ref="F11:G11"/>
    <mergeCell ref="F12:G12"/>
    <mergeCell ref="F13:G13"/>
    <mergeCell ref="L12:M12"/>
    <mergeCell ref="L13:M13"/>
    <mergeCell ref="F19:M19"/>
    <mergeCell ref="F20:M20"/>
    <mergeCell ref="F21:M21"/>
    <mergeCell ref="F22:M22"/>
    <mergeCell ref="L6:M6"/>
    <mergeCell ref="L7:M7"/>
    <mergeCell ref="L8:M8"/>
    <mergeCell ref="N8:O13"/>
    <mergeCell ref="L9:M9"/>
    <mergeCell ref="L10:M10"/>
    <mergeCell ref="L11:M11"/>
    <mergeCell ref="D24:D25"/>
    <mergeCell ref="E24:E25"/>
    <mergeCell ref="F24:F25"/>
    <mergeCell ref="G24:G25"/>
    <mergeCell ref="H24:H25"/>
    <mergeCell ref="I25:J25"/>
    <mergeCell ref="K25:M25"/>
    <mergeCell ref="I32:M32"/>
    <mergeCell ref="D12:E12"/>
    <mergeCell ref="D13:E13"/>
    <mergeCell ref="E16:E17"/>
    <mergeCell ref="D19:E19"/>
    <mergeCell ref="D20:E20"/>
    <mergeCell ref="D21:E21"/>
    <mergeCell ref="D22:E22"/>
  </mergeCells>
  <conditionalFormatting sqref="D8:G13 J8:M13 H13:I13">
    <cfRule type="expression" dxfId="0" priority="1">
      <formula>$C8="tidak muncul"</formula>
    </cfRule>
  </conditionalFormatting>
  <dataValidations>
    <dataValidation type="list" allowBlank="1" showErrorMessage="1" sqref="J6">
      <formula1>"Not Started,Approve"</formula1>
    </dataValidation>
    <dataValidation type="list" allowBlank="1" showErrorMessage="1" sqref="H17">
      <formula1>MASTER!$D$4</formula1>
    </dataValidation>
    <dataValidation type="list" allowBlank="1" showErrorMessage="1" sqref="F26:F31">
      <formula1>MASTER!$D$4:$D989</formula1>
    </dataValidation>
    <dataValidation type="list" allowBlank="1" showErrorMessage="1" sqref="F17">
      <formula1>MASTER!$B$4:$B989</formula1>
    </dataValidation>
  </dataValidations>
  <hyperlinks>
    <hyperlink r:id="rId1" ref="F47"/>
    <hyperlink r:id="rId2" ref="F49"/>
  </hyperlinks>
  <printOptions gridLines="1" horizontalCentered="1"/>
  <pageMargins bottom="0.75" footer="0.0" header="0.0" left="0.7" right="0.7" top="0.75"/>
  <pageSetup paperSize="9" cellComments="atEnd" orientation="landscape" pageOrder="overThenDown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3" width="30.13"/>
    <col customWidth="1" min="4" max="5" width="5.75"/>
    <col customWidth="1" min="6" max="8" width="34.38"/>
  </cols>
  <sheetData>
    <row r="1" ht="30.0" customHeight="1">
      <c r="A1" s="5" t="s">
        <v>18</v>
      </c>
      <c r="B1" s="7"/>
      <c r="C1" s="7"/>
      <c r="D1" s="8"/>
      <c r="E1" s="9"/>
      <c r="F1" s="12" t="s">
        <v>20</v>
      </c>
      <c r="G1" s="7"/>
      <c r="H1" s="10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5.75" customHeight="1">
      <c r="A2" s="16"/>
      <c r="B2" s="17"/>
      <c r="C2" s="17"/>
      <c r="D2" s="19"/>
      <c r="E2" s="20"/>
      <c r="F2" s="17"/>
      <c r="G2" s="17"/>
      <c r="H2" s="22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5.75" customHeight="1">
      <c r="A3" s="25"/>
      <c r="B3" s="13"/>
      <c r="C3" s="13"/>
      <c r="D3" s="13"/>
      <c r="E3" s="9"/>
      <c r="F3" s="27"/>
      <c r="G3" s="27"/>
      <c r="H3" s="8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25"/>
      <c r="B4" s="29" t="s">
        <v>23</v>
      </c>
      <c r="C4" s="13"/>
      <c r="D4" s="13"/>
      <c r="E4" s="25"/>
      <c r="F4" s="13"/>
      <c r="G4" s="13"/>
      <c r="H4" s="30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5.75" customHeight="1">
      <c r="A5" s="25"/>
      <c r="B5" s="13"/>
      <c r="C5" s="13"/>
      <c r="D5" s="13"/>
      <c r="E5" s="25"/>
      <c r="F5" s="13"/>
      <c r="G5" s="13"/>
      <c r="H5" s="30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75" customHeight="1">
      <c r="A6" s="25"/>
      <c r="B6" s="13"/>
      <c r="C6" s="13"/>
      <c r="D6" s="13"/>
      <c r="E6" s="25"/>
      <c r="F6" s="13"/>
      <c r="G6" s="13"/>
      <c r="H6" s="30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5.75" customHeight="1">
      <c r="A7" s="25"/>
      <c r="B7" s="13"/>
      <c r="C7" s="13"/>
      <c r="D7" s="13"/>
      <c r="E7" s="25"/>
      <c r="F7" s="13"/>
      <c r="G7" s="13"/>
      <c r="H7" s="30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75" customHeight="1">
      <c r="A8" s="25"/>
      <c r="B8" s="13"/>
      <c r="C8" s="13"/>
      <c r="D8" s="13"/>
      <c r="E8" s="25"/>
      <c r="F8" s="13"/>
      <c r="G8" s="13"/>
      <c r="H8" s="30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75" customHeight="1">
      <c r="A9" s="25"/>
      <c r="B9" s="13"/>
      <c r="C9" s="13"/>
      <c r="D9" s="13"/>
      <c r="E9" s="25"/>
      <c r="F9" s="13"/>
      <c r="G9" s="13"/>
      <c r="H9" s="30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75" customHeight="1">
      <c r="A10" s="25"/>
      <c r="B10" s="13"/>
      <c r="C10" s="13"/>
      <c r="D10" s="13"/>
      <c r="E10" s="25"/>
      <c r="F10" s="13"/>
      <c r="G10" s="13"/>
      <c r="H10" s="30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5.75" customHeight="1">
      <c r="A11" s="25"/>
      <c r="B11" s="13"/>
      <c r="C11" s="13"/>
      <c r="D11" s="13"/>
      <c r="E11" s="25"/>
      <c r="F11" s="13"/>
      <c r="G11" s="13"/>
      <c r="H11" s="30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5.75" customHeight="1">
      <c r="A12" s="25"/>
      <c r="B12" s="13"/>
      <c r="C12" s="13"/>
      <c r="D12" s="13"/>
      <c r="E12" s="25"/>
      <c r="F12" s="13"/>
      <c r="G12" s="13"/>
      <c r="H12" s="30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75" customHeight="1">
      <c r="A13" s="25"/>
      <c r="B13" s="13"/>
      <c r="C13" s="13"/>
      <c r="D13" s="13"/>
      <c r="E13" s="25"/>
      <c r="F13" s="13"/>
      <c r="G13" s="13"/>
      <c r="H13" s="30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75" customHeight="1">
      <c r="A14" s="25"/>
      <c r="B14" s="13"/>
      <c r="C14" s="13"/>
      <c r="D14" s="13"/>
      <c r="E14" s="25"/>
      <c r="F14" s="13"/>
      <c r="G14" s="13"/>
      <c r="H14" s="30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5.75" customHeight="1">
      <c r="A15" s="25"/>
      <c r="B15" s="13"/>
      <c r="C15" s="13"/>
      <c r="D15" s="13"/>
      <c r="E15" s="25"/>
      <c r="F15" s="13"/>
      <c r="G15" s="13"/>
      <c r="H15" s="30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5.75" customHeight="1">
      <c r="A16" s="25"/>
      <c r="B16" s="13"/>
      <c r="C16" s="13"/>
      <c r="D16" s="13"/>
      <c r="E16" s="25"/>
      <c r="F16" s="13"/>
      <c r="G16" s="13"/>
      <c r="H16" s="30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.75" customHeight="1">
      <c r="A17" s="25"/>
      <c r="B17" s="13"/>
      <c r="C17" s="13"/>
      <c r="D17" s="13"/>
      <c r="E17" s="25"/>
      <c r="F17" s="13"/>
      <c r="G17" s="13"/>
      <c r="H17" s="30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75" customHeight="1">
      <c r="A18" s="25"/>
      <c r="B18" s="13"/>
      <c r="C18" s="13"/>
      <c r="D18" s="13"/>
      <c r="E18" s="25"/>
      <c r="F18" s="13"/>
      <c r="G18" s="13"/>
      <c r="H18" s="30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5.75" customHeight="1">
      <c r="A19" s="25"/>
      <c r="B19" s="13"/>
      <c r="C19" s="13"/>
      <c r="D19" s="13"/>
      <c r="E19" s="25"/>
      <c r="F19" s="13"/>
      <c r="G19" s="13"/>
      <c r="H19" s="30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5.75" customHeight="1">
      <c r="A20" s="25"/>
      <c r="B20" s="13"/>
      <c r="C20" s="13"/>
      <c r="D20" s="13"/>
      <c r="E20" s="25"/>
      <c r="F20" s="13"/>
      <c r="G20" s="13"/>
      <c r="H20" s="30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25"/>
      <c r="B21" s="13"/>
      <c r="C21" s="13"/>
      <c r="D21" s="13"/>
      <c r="E21" s="25"/>
      <c r="F21" s="13"/>
      <c r="G21" s="13"/>
      <c r="H21" s="30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25"/>
      <c r="B22" s="50"/>
      <c r="C22" s="13"/>
      <c r="D22" s="13"/>
      <c r="E22" s="25"/>
      <c r="F22" s="13"/>
      <c r="G22" s="13"/>
      <c r="H22" s="30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25"/>
      <c r="B23" s="52"/>
      <c r="C23" s="13"/>
      <c r="D23" s="13"/>
      <c r="E23" s="25"/>
      <c r="F23" s="13"/>
      <c r="G23" s="13"/>
      <c r="H23" s="30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25"/>
      <c r="B24" s="52"/>
      <c r="C24" s="13"/>
      <c r="D24" s="13"/>
      <c r="E24" s="25"/>
      <c r="F24" s="13"/>
      <c r="G24" s="13"/>
      <c r="H24" s="30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25"/>
      <c r="B25" s="52"/>
      <c r="C25" s="13"/>
      <c r="D25" s="13"/>
      <c r="E25" s="25"/>
      <c r="F25" s="13"/>
      <c r="G25" s="13"/>
      <c r="H25" s="30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25"/>
      <c r="B26" s="52"/>
      <c r="C26" s="13"/>
      <c r="D26" s="13"/>
      <c r="E26" s="25"/>
      <c r="F26" s="13"/>
      <c r="G26" s="13"/>
      <c r="H26" s="30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25"/>
      <c r="B27" s="13"/>
      <c r="C27" s="13"/>
      <c r="D27" s="13"/>
      <c r="E27" s="25"/>
      <c r="F27" s="13"/>
      <c r="G27" s="13"/>
      <c r="H27" s="30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25"/>
      <c r="B28" s="13"/>
      <c r="C28" s="13"/>
      <c r="D28" s="13"/>
      <c r="E28" s="25"/>
      <c r="F28" s="13"/>
      <c r="G28" s="13"/>
      <c r="H28" s="30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25"/>
      <c r="B29" s="55"/>
      <c r="C29" s="13"/>
      <c r="D29" s="13"/>
      <c r="E29" s="25"/>
      <c r="F29" s="13"/>
      <c r="G29" s="13"/>
      <c r="H29" s="30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25"/>
      <c r="B30" s="13"/>
      <c r="C30" s="13"/>
      <c r="D30" s="13"/>
      <c r="E30" s="25"/>
      <c r="F30" s="13"/>
      <c r="G30" s="13"/>
      <c r="H30" s="30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25"/>
      <c r="B31" s="13"/>
      <c r="C31" s="13"/>
      <c r="D31" s="13"/>
      <c r="E31" s="25"/>
      <c r="F31" s="13"/>
      <c r="G31" s="13"/>
      <c r="H31" s="30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25"/>
      <c r="B32" s="13"/>
      <c r="C32" s="13"/>
      <c r="D32" s="13"/>
      <c r="E32" s="25"/>
      <c r="F32" s="13"/>
      <c r="G32" s="13"/>
      <c r="H32" s="30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25"/>
      <c r="B33" s="13"/>
      <c r="C33" s="13"/>
      <c r="D33" s="13"/>
      <c r="E33" s="25"/>
      <c r="F33" s="13"/>
      <c r="G33" s="13"/>
      <c r="H33" s="30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25"/>
      <c r="B34" s="13"/>
      <c r="C34" s="13"/>
      <c r="D34" s="13"/>
      <c r="E34" s="25"/>
      <c r="F34" s="13"/>
      <c r="G34" s="13"/>
      <c r="H34" s="30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25"/>
      <c r="B35" s="13"/>
      <c r="C35" s="13"/>
      <c r="D35" s="13"/>
      <c r="E35" s="25"/>
      <c r="F35" s="13"/>
      <c r="G35" s="13"/>
      <c r="H35" s="30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25"/>
      <c r="B36" s="13"/>
      <c r="C36" s="13"/>
      <c r="D36" s="13"/>
      <c r="E36" s="25"/>
      <c r="F36" s="13"/>
      <c r="G36" s="13"/>
      <c r="H36" s="30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25"/>
      <c r="B37" s="13"/>
      <c r="C37" s="13"/>
      <c r="D37" s="13"/>
      <c r="E37" s="25"/>
      <c r="F37" s="13"/>
      <c r="G37" s="13"/>
      <c r="H37" s="30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25"/>
      <c r="B38" s="13"/>
      <c r="C38" s="13"/>
      <c r="D38" s="13"/>
      <c r="E38" s="25"/>
      <c r="F38" s="13"/>
      <c r="G38" s="13"/>
      <c r="H38" s="30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25"/>
      <c r="B39" s="13"/>
      <c r="C39" s="13"/>
      <c r="D39" s="13"/>
      <c r="E39" s="25"/>
      <c r="F39" s="13"/>
      <c r="G39" s="13"/>
      <c r="H39" s="30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60">
        <v>134000.0</v>
      </c>
      <c r="B40" s="13"/>
      <c r="C40" s="13"/>
      <c r="D40" s="13"/>
      <c r="E40" s="25"/>
      <c r="F40" s="13"/>
      <c r="G40" s="13"/>
      <c r="H40" s="30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25"/>
      <c r="B41" s="13"/>
      <c r="C41" s="13"/>
      <c r="D41" s="13"/>
      <c r="E41" s="25"/>
      <c r="F41" s="13"/>
      <c r="G41" s="13"/>
      <c r="H41" s="30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25"/>
      <c r="B42" s="13"/>
      <c r="C42" s="13"/>
      <c r="D42" s="13"/>
      <c r="E42" s="25"/>
      <c r="F42" s="13"/>
      <c r="G42" s="13"/>
      <c r="H42" s="30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25"/>
      <c r="B43" s="13"/>
      <c r="C43" s="13"/>
      <c r="D43" s="13"/>
      <c r="E43" s="25"/>
      <c r="F43" s="13"/>
      <c r="G43" s="13"/>
      <c r="H43" s="30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25"/>
      <c r="B44" s="13"/>
      <c r="C44" s="13"/>
      <c r="D44" s="13"/>
      <c r="E44" s="25"/>
      <c r="F44" s="13"/>
      <c r="G44" s="13"/>
      <c r="H44" s="30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25"/>
      <c r="B45" s="13"/>
      <c r="C45" s="13"/>
      <c r="D45" s="13"/>
      <c r="E45" s="25"/>
      <c r="F45" s="13"/>
      <c r="G45" s="13"/>
      <c r="H45" s="30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25"/>
      <c r="B46" s="13"/>
      <c r="C46" s="13"/>
      <c r="D46" s="13"/>
      <c r="E46" s="25"/>
      <c r="F46" s="13"/>
      <c r="G46" s="13"/>
      <c r="H46" s="30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25"/>
      <c r="B47" s="13"/>
      <c r="C47" s="13"/>
      <c r="D47" s="13"/>
      <c r="E47" s="25"/>
      <c r="F47" s="13"/>
      <c r="G47" s="13"/>
      <c r="H47" s="30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25"/>
      <c r="B48" s="13"/>
      <c r="C48" s="13"/>
      <c r="D48" s="13"/>
      <c r="E48" s="25"/>
      <c r="F48" s="13"/>
      <c r="G48" s="13"/>
      <c r="H48" s="30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25"/>
      <c r="B49" s="13"/>
      <c r="C49" s="13"/>
      <c r="D49" s="13"/>
      <c r="E49" s="25"/>
      <c r="F49" s="13"/>
      <c r="G49" s="13"/>
      <c r="H49" s="30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25"/>
      <c r="B50" s="13"/>
      <c r="C50" s="13"/>
      <c r="D50" s="13"/>
      <c r="E50" s="25"/>
      <c r="F50" s="13"/>
      <c r="G50" s="13"/>
      <c r="H50" s="30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25"/>
      <c r="B51" s="13"/>
      <c r="C51" s="13"/>
      <c r="D51" s="13"/>
      <c r="E51" s="25"/>
      <c r="F51" s="13"/>
      <c r="G51" s="13"/>
      <c r="H51" s="30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25"/>
      <c r="B52" s="13"/>
      <c r="C52" s="13"/>
      <c r="D52" s="13"/>
      <c r="E52" s="25"/>
      <c r="F52" s="13"/>
      <c r="G52" s="13"/>
      <c r="H52" s="30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25"/>
      <c r="B53" s="13"/>
      <c r="C53" s="13"/>
      <c r="D53" s="13"/>
      <c r="E53" s="25"/>
      <c r="F53" s="13"/>
      <c r="G53" s="13"/>
      <c r="H53" s="30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25"/>
      <c r="B54" s="13"/>
      <c r="C54" s="13"/>
      <c r="D54" s="13"/>
      <c r="E54" s="25"/>
      <c r="F54" s="13"/>
      <c r="G54" s="13"/>
      <c r="H54" s="30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20"/>
      <c r="B55" s="64"/>
      <c r="C55" s="64"/>
      <c r="D55" s="64"/>
      <c r="E55" s="20"/>
      <c r="F55" s="64"/>
      <c r="G55" s="64"/>
      <c r="H55" s="19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</sheetData>
  <mergeCells count="2">
    <mergeCell ref="A1:C1"/>
    <mergeCell ref="F1:H1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