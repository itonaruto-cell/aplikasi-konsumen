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OP_Pengajuan ke HO " sheetId="1" r:id="rId5"/>
    <sheet state="hidden" name="Panduan Pengajuan AOP Ke HO " sheetId="2" r:id="rId6"/>
    <sheet state="visible" name="AOP_Pengajuan AOP ke Cabang&amp;BU" sheetId="3" r:id="rId7"/>
    <sheet state="hidden" name="Panduan AOP ke Cabang&amp;BU" sheetId="4" r:id="rId8"/>
  </sheets>
  <definedNames/>
  <calcPr/>
</workbook>
</file>

<file path=xl/sharedStrings.xml><?xml version="1.0" encoding="utf-8"?>
<sst xmlns="http://schemas.openxmlformats.org/spreadsheetml/2006/main" count="203" uniqueCount="101">
  <si>
    <t>Template ini diperuntukkan bagi pengajuan atas pemakaian biaya 1 Cabang dengan berbagai COA</t>
  </si>
  <si>
    <r>
      <rPr>
        <rFont val="Arial"/>
        <b/>
        <color theme="1"/>
        <sz val="14.0"/>
      </rPr>
      <t xml:space="preserve">Template ini diperuntukan bagi pengajuan biaya yang tidak perlu ke PIC </t>
    </r>
    <r>
      <rPr>
        <rFont val="Arial"/>
        <b/>
        <i/>
        <color rgb="FF000000"/>
        <sz val="14.0"/>
      </rPr>
      <t>Cost Center</t>
    </r>
    <r>
      <rPr>
        <rFont val="Arial"/>
        <b/>
        <color theme="1"/>
        <sz val="14.0"/>
      </rPr>
      <t xml:space="preserve">, PIC </t>
    </r>
    <r>
      <rPr>
        <rFont val="Arial"/>
        <b/>
        <i/>
        <color rgb="FF000000"/>
        <sz val="14.0"/>
      </rPr>
      <t xml:space="preserve">Pooling </t>
    </r>
    <r>
      <rPr>
        <rFont val="Arial"/>
        <b/>
        <color theme="1"/>
        <sz val="14.0"/>
      </rPr>
      <t>COA, &amp; CCM</t>
    </r>
  </si>
  <si>
    <t>FORMULIR KONFIRMASI SALDO AOP</t>
  </si>
  <si>
    <r>
      <rPr>
        <rFont val="Arial"/>
        <color theme="1"/>
        <sz val="10.0"/>
      </rPr>
      <t>Nomor IM/</t>
    </r>
    <r>
      <rPr>
        <rFont val="Arial"/>
        <i/>
        <color rgb="FF000000"/>
        <sz val="10.0"/>
      </rPr>
      <t>Invoice</t>
    </r>
  </si>
  <si>
    <t>Nomor IM</t>
  </si>
  <si>
    <r>
      <rPr>
        <rFont val="Arial"/>
        <b/>
        <color rgb="FF0000FF"/>
        <sz val="10.0"/>
      </rPr>
      <t>: ...... Diisi nomor IM/</t>
    </r>
    <r>
      <rPr>
        <rFont val="Arial"/>
        <b/>
        <i/>
        <color rgb="FF0000FF"/>
        <sz val="10.0"/>
      </rPr>
      <t>Invoice</t>
    </r>
    <r>
      <rPr>
        <rFont val="Arial"/>
        <b/>
        <color rgb="FF0000FF"/>
        <sz val="10.0"/>
      </rPr>
      <t xml:space="preserve"> =&gt; pilih salah satu saja</t>
    </r>
  </si>
  <si>
    <t xml:space="preserve">325/MKT-KENDAL/X/2026                                                                      </t>
  </si>
  <si>
    <t>Nomor IM / FPD / Kwitansi</t>
  </si>
  <si>
    <t>: 001/IM-Kediri/I/2025</t>
  </si>
  <si>
    <t>Perihal</t>
  </si>
  <si>
    <t>: Pengajuan Dana Entertain MA</t>
  </si>
  <si>
    <r>
      <rPr>
        <rFont val="Arial"/>
        <color theme="1"/>
        <sz val="10.0"/>
      </rPr>
      <t>Nomor IM/</t>
    </r>
    <r>
      <rPr>
        <rFont val="Arial"/>
        <i/>
        <color rgb="FF000000"/>
        <sz val="10.0"/>
      </rPr>
      <t>Invoice</t>
    </r>
  </si>
  <si>
    <t>: Biaya penggunaan air PDAM periode Januari 2025</t>
  </si>
  <si>
    <t>: 01/IM /SUMBAGUT/I/2025</t>
  </si>
  <si>
    <t>Total Biaya</t>
  </si>
  <si>
    <t>: 200.000</t>
  </si>
  <si>
    <r>
      <rPr>
        <rFont val="Arial"/>
        <b/>
        <color rgb="FF0000FF"/>
        <sz val="10.0"/>
      </rPr>
      <t>(Diisi nomor IM/</t>
    </r>
    <r>
      <rPr>
        <rFont val="Arial"/>
        <b/>
        <i/>
        <color rgb="FF0000FF"/>
        <sz val="10.0"/>
      </rPr>
      <t xml:space="preserve">Invoice =&gt; </t>
    </r>
    <r>
      <rPr>
        <rFont val="Arial"/>
        <b/>
        <color rgb="FF0000FF"/>
        <sz val="10.0"/>
      </rPr>
      <t>pilih salah satu saja)</t>
    </r>
  </si>
  <si>
    <t>: ...... Diisi keterangan biaya yang akan diajukan beserta periode program</t>
  </si>
  <si>
    <t>Beban Biaya (BU/Cabang)</t>
  </si>
  <si>
    <t>: Cabang Kendal</t>
  </si>
  <si>
    <t>: Cabang Kediri</t>
  </si>
  <si>
    <t>: Biaya Keperluan Dapur Periode Januari 2025</t>
  </si>
  <si>
    <t>: ...... Diisi keterangan total dana yang akan diajukan dan harus sesuai dengan total angka pada baris permohonan saat ini</t>
  </si>
  <si>
    <t>(Diisi keterangan biaya yang akan diajukan beserta periode program)</t>
  </si>
  <si>
    <t>Beban Biaya (HO/Cabang)</t>
  </si>
  <si>
    <t>: ...... Diisi nama Cabang atau BU</t>
  </si>
  <si>
    <t>: Rp500,000</t>
  </si>
  <si>
    <t>DATA SALDO AOP</t>
  </si>
  <si>
    <t>(Diisi keterangan total dana yang akan diajukan dan harus sesuai dengan total angka pada baris permohonan saat ini)</t>
  </si>
  <si>
    <t>Budget Monitoring</t>
  </si>
  <si>
    <t>: BU Sumbagut</t>
  </si>
  <si>
    <t>Diisi Nama COA</t>
  </si>
  <si>
    <t>(Diisi nama Cabang atau BU)</t>
  </si>
  <si>
    <t>COA BY. ENTERTAIN MARKETING</t>
  </si>
  <si>
    <t>Tabel ini dapat digunakan untuk beberapa COA (dalam 1 Divisi)</t>
  </si>
  <si>
    <t>BY. AIR</t>
  </si>
  <si>
    <t>Diisi Nomor COA</t>
  </si>
  <si>
    <t>BY. KEPERLUAN DAPUR</t>
  </si>
  <si>
    <t>Jumlah (Rp)</t>
  </si>
  <si>
    <t>AOP (Januari-Desember)</t>
  </si>
  <si>
    <t>(Diisi angka AOP 1 Tahun (Januari - Desember 2025)</t>
  </si>
  <si>
    <t>(Diisi angka AOP 1 Tahun (Januari - Desember 2023))</t>
  </si>
  <si>
    <t>AOP Deviasi (Januari-Desember)</t>
  </si>
  <si>
    <t>(Diisi angka AOP Deviasi 1 Tahun (Januari - Desember 2025)</t>
  </si>
  <si>
    <t>AOP yang sudah terpakai</t>
  </si>
  <si>
    <t>(Diisi angka AOP Deviasi 1 Tahun (Januari - Desember 2024))</t>
  </si>
  <si>
    <t>(Diisi angka AOP yang sudah terpakai)</t>
  </si>
  <si>
    <t>Permohonan masih dalam proses</t>
  </si>
  <si>
    <t>(Diisi angka AOP sedang dalam proses)</t>
  </si>
  <si>
    <t>Sisa AOP</t>
  </si>
  <si>
    <t>Permohonan saat ini</t>
  </si>
  <si>
    <t>(Diisi angka pengajuan saat ini)</t>
  </si>
  <si>
    <t>DATA SALDO ANGGARAN
(Dana Anggaran + Anggaran Tambahan + Deviasi)</t>
  </si>
  <si>
    <r>
      <rPr>
        <rFont val="Arial"/>
        <color theme="1"/>
        <sz val="10.0"/>
      </rPr>
      <t xml:space="preserve">Catatan tambahan </t>
    </r>
    <r>
      <rPr>
        <rFont val="Arial"/>
        <b/>
        <color theme="1"/>
        <sz val="10.0"/>
      </rPr>
      <t>(khusus Cabang) :</t>
    </r>
  </si>
  <si>
    <t>Dana anggaran</t>
  </si>
  <si>
    <r>
      <rPr>
        <rFont val="Arial"/>
        <color rgb="FF0000FF"/>
        <sz val="10.0"/>
      </rPr>
      <t xml:space="preserve">Diisi dengan analisa penyebab kurangnya dana anggaran awal bulan </t>
    </r>
    <r>
      <rPr>
        <rFont val="Arial"/>
        <b/>
        <color rgb="FF0000FF"/>
        <sz val="10.0"/>
      </rPr>
      <t>khusus Cabang</t>
    </r>
  </si>
  <si>
    <t>Dana anggaran yang sudah terpakai</t>
  </si>
  <si>
    <t>(Diisi angka Dana Anggaran + Anggaran Tambahan + Deviasi yang di terima)</t>
  </si>
  <si>
    <t>(Diisi angka Dana Anggaran + Anggaran Tambahan + Deviasi yang sudah terpakai)</t>
  </si>
  <si>
    <t>Prepared by</t>
  </si>
  <si>
    <t>Function/Title</t>
  </si>
  <si>
    <t>Status</t>
  </si>
  <si>
    <t>Date</t>
  </si>
  <si>
    <r>
      <rPr>
        <rFont val="Arial"/>
        <color theme="1"/>
        <sz val="10.0"/>
      </rPr>
      <t xml:space="preserve">Catatan tambahan </t>
    </r>
    <r>
      <rPr>
        <rFont val="Arial"/>
        <b/>
        <color theme="1"/>
        <sz val="10.0"/>
      </rPr>
      <t>(khusus Cabang) :</t>
    </r>
  </si>
  <si>
    <t>Notes</t>
  </si>
  <si>
    <t>(Diisi angka Dana Anggaran + Anggaran Tambahan + Deviasi yang masih dalam proses)</t>
  </si>
  <si>
    <r>
      <rPr>
        <rFont val="Arial"/>
        <color rgb="FF0000FF"/>
        <sz val="10.0"/>
      </rPr>
      <t xml:space="preserve">Diisi dengan analisa penyebab kurangnya dana anggaran awal bulan </t>
    </r>
    <r>
      <rPr>
        <rFont val="Arial"/>
        <b/>
        <color rgb="FF0000FF"/>
        <sz val="10.0"/>
      </rPr>
      <t>khusus Cabang</t>
    </r>
  </si>
  <si>
    <t>Sisa Dana Anggaran</t>
  </si>
  <si>
    <t>Diisi oleh PIC Pengaju</t>
  </si>
  <si>
    <r>
      <rPr>
        <rFont val="Arial"/>
        <b/>
        <color rgb="FF0000FF"/>
        <sz val="10.0"/>
      </rPr>
      <t xml:space="preserve">Di </t>
    </r>
    <r>
      <rPr>
        <rFont val="Arial"/>
        <b/>
        <i/>
        <color rgb="FF0000FF"/>
        <sz val="10.0"/>
      </rPr>
      <t xml:space="preserve">review </t>
    </r>
    <r>
      <rPr>
        <rFont val="Arial"/>
        <b/>
        <color rgb="FF0000FF"/>
        <sz val="10.0"/>
      </rPr>
      <t xml:space="preserve">oleh PIC </t>
    </r>
    <r>
      <rPr>
        <rFont val="Arial"/>
        <b/>
        <i/>
        <color rgb="FF0000FF"/>
        <sz val="10.0"/>
      </rPr>
      <t>Pooling</t>
    </r>
  </si>
  <si>
    <r>
      <rPr>
        <rFont val="Arial"/>
        <b/>
        <color rgb="FF0000FF"/>
        <sz val="10.0"/>
      </rPr>
      <t xml:space="preserve">Di </t>
    </r>
    <r>
      <rPr>
        <rFont val="Arial"/>
        <b/>
        <i/>
        <color rgb="FF0000FF"/>
        <sz val="10.0"/>
      </rPr>
      <t xml:space="preserve">review </t>
    </r>
    <r>
      <rPr>
        <rFont val="Arial"/>
        <b/>
        <color rgb="FF0000FF"/>
        <sz val="10.0"/>
      </rPr>
      <t xml:space="preserve">oleh PIC </t>
    </r>
    <r>
      <rPr>
        <rFont val="Arial"/>
        <b/>
        <i/>
        <color rgb="FF0000FF"/>
        <sz val="10.0"/>
      </rPr>
      <t xml:space="preserve">Pooling </t>
    </r>
    <r>
      <rPr>
        <rFont val="Arial"/>
        <b/>
        <color rgb="FF0000FF"/>
        <sz val="10.0"/>
      </rPr>
      <t>COA*</t>
    </r>
  </si>
  <si>
    <r>
      <rPr>
        <rFont val="Arial"/>
        <color theme="1"/>
        <sz val="10.0"/>
      </rPr>
      <t xml:space="preserve">Catatan tambahan </t>
    </r>
    <r>
      <rPr>
        <rFont val="Arial"/>
        <b/>
        <color theme="1"/>
        <sz val="10.0"/>
      </rPr>
      <t>(khusus Cabang) :</t>
    </r>
  </si>
  <si>
    <t>Reviewed by</t>
  </si>
  <si>
    <t>F - 384 Form Entertain Marketing Agent Mobilku - Kendal - 7 Oktober 2026</t>
  </si>
  <si>
    <t>Approval Status</t>
  </si>
  <si>
    <r>
      <rPr>
        <rFont val="Arial"/>
        <color theme="1"/>
        <sz val="10.0"/>
      </rPr>
      <t xml:space="preserve">Catatan tambahan </t>
    </r>
    <r>
      <rPr>
        <rFont val="Arial"/>
        <b/>
        <color theme="1"/>
        <sz val="10.0"/>
      </rPr>
      <t>(khusus Cabang) :</t>
    </r>
  </si>
  <si>
    <t>Cost Control Management</t>
  </si>
  <si>
    <r>
      <rPr>
        <rFont val="Arial"/>
        <color rgb="FF0000FF"/>
        <sz val="10.0"/>
      </rPr>
      <t xml:space="preserve">Diisi dengan analisa penyebab kurangnya dana anggaran awal bulan </t>
    </r>
    <r>
      <rPr>
        <rFont val="Arial"/>
        <b/>
        <color rgb="FF0000FF"/>
        <sz val="10.0"/>
      </rPr>
      <t>khusus Cabang</t>
    </r>
  </si>
  <si>
    <t>Diisi oleh PIC CCM</t>
  </si>
  <si>
    <t>Yulvia</t>
  </si>
  <si>
    <t>Fin Coordinator</t>
  </si>
  <si>
    <t>Submitted</t>
  </si>
  <si>
    <t>Catatan :</t>
  </si>
  <si>
    <r>
      <rPr>
        <rFont val="Arial"/>
        <color rgb="FFFFFFFF"/>
        <sz val="10.0"/>
      </rPr>
      <t xml:space="preserve">Warna kuning → Diisi oleh Pengaju, PIC </t>
    </r>
    <r>
      <rPr>
        <rFont val="Arial"/>
        <i/>
        <color rgb="FFFFFFFF"/>
        <sz val="10.0"/>
      </rPr>
      <t xml:space="preserve">Pooling </t>
    </r>
    <r>
      <rPr>
        <rFont val="Arial"/>
        <color rgb="FFFFFFFF"/>
        <sz val="10.0"/>
      </rPr>
      <t xml:space="preserve">dan PIC </t>
    </r>
    <r>
      <rPr>
        <rFont val="Arial"/>
        <i/>
        <color rgb="FFFFFFFF"/>
        <sz val="10.0"/>
      </rPr>
      <t xml:space="preserve">Pooling </t>
    </r>
    <r>
      <rPr>
        <rFont val="Arial"/>
        <color rgb="FFFFFFFF"/>
        <sz val="10.0"/>
      </rPr>
      <t>COA</t>
    </r>
  </si>
  <si>
    <t>Warna hijau → Diisi oleh PIC CCM</t>
  </si>
  <si>
    <t>Nabilla Shitasari</t>
  </si>
  <si>
    <t>Compliance staff</t>
  </si>
  <si>
    <t>Confirmed</t>
  </si>
  <si>
    <r>
      <rPr>
        <rFont val="Arial"/>
        <b/>
        <color rgb="FF0000FF"/>
        <sz val="10.0"/>
      </rPr>
      <t xml:space="preserve">Di </t>
    </r>
    <r>
      <rPr>
        <rFont val="Arial"/>
        <b/>
        <i/>
        <color rgb="FF0000FF"/>
        <sz val="10.0"/>
      </rPr>
      <t xml:space="preserve">review </t>
    </r>
    <r>
      <rPr>
        <rFont val="Arial"/>
        <b/>
        <color rgb="FF0000FF"/>
        <sz val="10.0"/>
      </rPr>
      <t xml:space="preserve">oleh PIC </t>
    </r>
    <r>
      <rPr>
        <rFont val="Arial"/>
        <b/>
        <i/>
        <color rgb="FF0000FF"/>
        <sz val="10.0"/>
      </rPr>
      <t>Pooling</t>
    </r>
  </si>
  <si>
    <r>
      <rPr>
        <rFont val="Arial"/>
        <color rgb="FFFFFFFF"/>
        <sz val="10.0"/>
      </rPr>
      <t xml:space="preserve">Kolom </t>
    </r>
    <r>
      <rPr>
        <rFont val="Arial"/>
        <i/>
        <color rgb="FFFFFFFF"/>
        <sz val="10.0"/>
      </rPr>
      <t>budget monitoring</t>
    </r>
    <r>
      <rPr>
        <rFont val="Arial"/>
        <color rgb="FFFFFFFF"/>
        <sz val="10.0"/>
      </rPr>
      <t xml:space="preserve"> dapat disesuaikan dengan jumlah COA yang akan digunakan.</t>
    </r>
  </si>
  <si>
    <t>Muhammad Aji Susilo</t>
  </si>
  <si>
    <t xml:space="preserve">BRANCH HEAD KENDAL	</t>
  </si>
  <si>
    <r>
      <rPr>
        <rFont val="Arial"/>
        <color rgb="FFFFFFFF"/>
        <sz val="10.0"/>
      </rPr>
      <t xml:space="preserve">*PIC </t>
    </r>
    <r>
      <rPr>
        <rFont val="Arial"/>
        <i/>
        <color rgb="FFFFFFFF"/>
        <sz val="10.0"/>
      </rPr>
      <t xml:space="preserve">Pooling </t>
    </r>
    <r>
      <rPr>
        <rFont val="Arial"/>
        <color rgb="FFFFFFFF"/>
        <sz val="10.0"/>
      </rPr>
      <t>COA dapat disesuaikan dengan jumlah COA yang akan diajukan</t>
    </r>
  </si>
  <si>
    <t>Winarti</t>
  </si>
  <si>
    <t>PGA Dept Head</t>
  </si>
  <si>
    <t>Lia Silfiana Safitri</t>
  </si>
  <si>
    <t>BOH</t>
  </si>
  <si>
    <r>
      <rPr>
        <rFont val="Arial"/>
        <b/>
        <color rgb="FF0000FF"/>
        <sz val="10.0"/>
      </rPr>
      <t xml:space="preserve">Di </t>
    </r>
    <r>
      <rPr>
        <rFont val="Arial"/>
        <b/>
        <i/>
        <color rgb="FF0000FF"/>
        <sz val="10.0"/>
      </rPr>
      <t xml:space="preserve">review </t>
    </r>
    <r>
      <rPr>
        <rFont val="Arial"/>
        <b/>
        <color rgb="FF0000FF"/>
        <sz val="10.0"/>
      </rPr>
      <t xml:space="preserve">oleh PIC </t>
    </r>
    <r>
      <rPr>
        <rFont val="Arial"/>
        <b/>
        <i/>
        <color rgb="FF0000FF"/>
        <sz val="10.0"/>
      </rPr>
      <t xml:space="preserve">Pooling </t>
    </r>
    <r>
      <rPr>
        <rFont val="Arial"/>
        <b/>
        <color rgb="FF0000FF"/>
        <sz val="10.0"/>
      </rPr>
      <t>COA*</t>
    </r>
  </si>
  <si>
    <r>
      <rPr>
        <rFont val="Arial"/>
        <b/>
        <color rgb="FF0000FF"/>
        <sz val="10.0"/>
      </rPr>
      <t xml:space="preserve">Di </t>
    </r>
    <r>
      <rPr>
        <rFont val="Arial"/>
        <b/>
        <i/>
        <color rgb="FF0000FF"/>
        <sz val="10.0"/>
      </rPr>
      <t xml:space="preserve">review </t>
    </r>
    <r>
      <rPr>
        <rFont val="Arial"/>
        <b/>
        <color rgb="FF0000FF"/>
        <sz val="10.0"/>
      </rPr>
      <t xml:space="preserve">oleh PIC </t>
    </r>
    <r>
      <rPr>
        <rFont val="Arial"/>
        <b/>
        <i/>
        <color rgb="FF0000FF"/>
        <sz val="10.0"/>
      </rPr>
      <t>Pooling</t>
    </r>
  </si>
  <si>
    <t>Dyah Pamungkas P</t>
  </si>
  <si>
    <t>M Jamaluddin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</si>
</sst>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p ]#,##0"/>
    <numFmt numFmtId="165" formatCode="_(* #,##0_);_(* \(#,##0\);_(* &quot;-&quot;??_);_(@_)"/>
    <numFmt numFmtId="166" formatCode="_([$Rp-421]* #,##0_);_([$Rp-421]* \(#,##0\);_([$Rp-421]* &quot;-&quot;_);_(@_)"/>
    <numFmt numFmtId="167" formatCode="#,##0;\(#,##0\)"/>
    <numFmt numFmtId="168" formatCode="d&quot;-&quot;mmm&quot;-&quot;yyyy"/>
    <numFmt numFmtId="169" formatCode="dd&quot; &quot;mmm&quot; &quot;yyyy"/>
    <numFmt numFmtId="170" formatCode="dd\ mmm\ yyyy"/>
  </numFmts>
  <fonts count="16">
    <font>
      <sz val="10.0"/>
      <color rgb="FF000000"/>
      <name val="Arial"/>
      <scheme val="minor"/>
    </font>
    <font>
      <b/>
      <sz val="14.0"/>
      <color rgb="FF800000"/>
      <name val="Arial"/>
    </font>
    <font>
      <b/>
      <sz val="14.0"/>
      <color theme="1"/>
      <name val="Arial"/>
    </font>
    <font>
      <sz val="10.0"/>
      <color theme="1"/>
      <name val="Arial"/>
    </font>
    <font>
      <b/>
      <sz val="10.0"/>
      <color rgb="FF0000FF"/>
      <name val="Arial"/>
    </font>
    <font/>
    <font>
      <b/>
      <sz val="10.0"/>
      <color theme="1"/>
      <name val="Arial"/>
    </font>
    <font>
      <b/>
      <i/>
      <sz val="10.0"/>
      <color theme="1"/>
      <name val="Arial"/>
    </font>
    <font>
      <b/>
      <sz val="10.0"/>
      <color rgb="FF000000"/>
      <name val="Arial"/>
    </font>
    <font>
      <color theme="1"/>
      <name val="Arial"/>
    </font>
    <font>
      <sz val="10.0"/>
      <color rgb="FF000000"/>
      <name val="Arial"/>
    </font>
    <font>
      <sz val="10.0"/>
      <color rgb="FF0000FF"/>
      <name val="Arial"/>
    </font>
    <font>
      <u/>
      <sz val="10.0"/>
      <color theme="1"/>
      <name val="Arial"/>
    </font>
    <font>
      <u/>
      <sz val="10.0"/>
      <color theme="0"/>
      <name val="Arial"/>
    </font>
    <font>
      <sz val="10.0"/>
      <color rgb="FFFFFFFF"/>
      <name val="Arial"/>
    </font>
    <font>
      <sz val="10.0"/>
      <color theme="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69696"/>
        <bgColor rgb="FF969696"/>
      </patternFill>
    </fill>
    <fill>
      <patternFill patternType="solid">
        <fgColor rgb="FFFF0000"/>
        <bgColor rgb="FFFF0000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2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3" fillId="0" fontId="4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5" fillId="0" fontId="4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shrinkToFit="0" vertical="center" wrapText="0"/>
    </xf>
    <xf borderId="5" fillId="0" fontId="5" numFmtId="0" xfId="0" applyBorder="1" applyFont="1"/>
    <xf borderId="4" fillId="0" fontId="5" numFmtId="0" xfId="0" applyBorder="1" applyFont="1"/>
    <xf borderId="2" fillId="0" fontId="4" numFmtId="164" xfId="0" applyAlignment="1" applyBorder="1" applyFont="1" applyNumberFormat="1">
      <alignment horizontal="left" readingOrder="0" shrinkToFit="0" vertical="center" wrapText="1"/>
    </xf>
    <xf borderId="2" fillId="0" fontId="4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center" shrinkToFit="0" vertical="center" wrapText="0"/>
    </xf>
    <xf borderId="7" fillId="2" fontId="7" numFmtId="165" xfId="0" applyAlignment="1" applyBorder="1" applyFill="1" applyFont="1" applyNumberFormat="1">
      <alignment horizontal="center" shrinkToFit="0" vertical="center" wrapText="0"/>
    </xf>
    <xf borderId="8" fillId="2" fontId="6" numFmtId="166" xfId="0" applyAlignment="1" applyBorder="1" applyFill="1" applyFont="1" applyNumberFormat="1">
      <alignment horizontal="center" shrinkToFit="0" vertical="center" wrapText="1"/>
    </xf>
    <xf borderId="2" fillId="2" fontId="6" numFmtId="166" xfId="0" applyAlignment="1" applyBorder="1" applyFill="1" applyFont="1" applyNumberFormat="1">
      <alignment horizontal="center" readingOrder="0" shrinkToFit="0" vertical="center" wrapText="1"/>
    </xf>
    <xf borderId="9" fillId="0" fontId="4" numFmtId="0" xfId="0" applyAlignment="1" applyBorder="1" applyFont="1">
      <alignment horizontal="left" shrinkToFit="0" vertical="center" wrapText="0"/>
    </xf>
    <xf borderId="1" fillId="2" fontId="6" numFmtId="166" xfId="0" applyAlignment="1" applyBorder="1" applyFill="1" applyFont="1" applyNumberForma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1" fillId="2" fontId="6" numFmtId="166" xfId="0" applyAlignment="1" applyBorder="1" applyFill="1" applyFont="1" applyNumberFormat="1">
      <alignment horizontal="center" shrinkToFit="0" vertical="center" wrapText="1"/>
    </xf>
    <xf borderId="0" fillId="0" fontId="6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10" fillId="0" fontId="5" numFmtId="0" xfId="0" applyBorder="1" applyFont="1"/>
    <xf borderId="8" fillId="2" fontId="6" numFmtId="0" xfId="0" applyAlignment="1" applyBorder="1" applyFill="1" applyFont="1">
      <alignment horizontal="center" shrinkToFit="0" vertical="center" wrapText="0"/>
    </xf>
    <xf borderId="2" fillId="2" fontId="6" numFmtId="0" xfId="0" applyAlignment="1" applyBorder="1" applyFill="1" applyFont="1">
      <alignment horizontal="center" readingOrder="0" shrinkToFit="0" vertical="center" wrapText="0"/>
    </xf>
    <xf borderId="1" fillId="2" fontId="6" numFmtId="0" xfId="0" applyAlignment="1" applyBorder="1" applyFill="1" applyFont="1">
      <alignment horizontal="center" shrinkToFit="0" vertical="center" wrapText="0"/>
    </xf>
    <xf borderId="9" fillId="0" fontId="6" numFmtId="0" xfId="0" applyAlignment="1" applyBorder="1" applyFont="1">
      <alignment horizontal="left" shrinkToFit="0" vertical="center" wrapText="0"/>
    </xf>
    <xf borderId="1" fillId="2" fontId="6" numFmtId="0" xfId="0" applyAlignment="1" applyBorder="1" applyFill="1" applyFont="1">
      <alignment horizontal="center" readingOrder="0" shrinkToFit="0" vertical="center" wrapText="0"/>
    </xf>
    <xf borderId="11" fillId="0" fontId="5" numFmtId="0" xfId="0" applyBorder="1" applyFont="1"/>
    <xf borderId="9" fillId="0" fontId="6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2" fillId="0" fontId="8" numFmtId="0" xfId="0" applyAlignment="1" applyBorder="1" applyFont="1">
      <alignment horizontal="center" shrinkToFit="0" vertical="center" wrapText="0"/>
    </xf>
    <xf borderId="12" fillId="2" fontId="3" numFmtId="0" xfId="0" applyAlignment="1" applyBorder="1" applyFill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1" fillId="0" fontId="3" numFmtId="167" xfId="0" applyAlignment="1" applyBorder="1" applyFont="1" applyNumberFormat="1">
      <alignment horizontal="right" shrinkToFit="0" vertical="center" wrapText="0"/>
    </xf>
    <xf borderId="13" fillId="0" fontId="3" numFmtId="167" xfId="0" applyAlignment="1" applyBorder="1" applyFont="1" applyNumberFormat="1">
      <alignment horizontal="right" shrinkToFit="0" vertical="center" wrapText="0"/>
    </xf>
    <xf borderId="1" fillId="0" fontId="9" numFmtId="167" xfId="0" applyAlignment="1" applyBorder="1" applyFont="1" applyNumberFormat="1">
      <alignment horizontal="right" readingOrder="0"/>
    </xf>
    <xf borderId="1" fillId="0" fontId="3" numFmtId="167" xfId="0" applyAlignment="1" applyBorder="1" applyFont="1" applyNumberFormat="1">
      <alignment horizontal="right" shrinkToFit="0" vertical="center" wrapText="0"/>
    </xf>
    <xf borderId="9" fillId="0" fontId="4" numFmtId="0" xfId="0" applyAlignment="1" applyBorder="1" applyFont="1">
      <alignment shrinkToFit="0" vertical="center" wrapText="0"/>
    </xf>
    <xf borderId="1" fillId="0" fontId="9" numFmtId="167" xfId="0" applyBorder="1" applyFont="1" applyNumberFormat="1"/>
    <xf borderId="14" fillId="2" fontId="3" numFmtId="0" xfId="0" applyAlignment="1" applyBorder="1" applyFill="1" applyFont="1">
      <alignment shrinkToFit="0" vertical="center" wrapText="0"/>
    </xf>
    <xf borderId="9" fillId="0" fontId="4" numFmtId="0" xfId="0" applyAlignment="1" applyBorder="1" applyFont="1">
      <alignment readingOrder="0" shrinkToFit="0" vertical="center" wrapText="0"/>
    </xf>
    <xf borderId="2" fillId="0" fontId="3" numFmtId="167" xfId="0" applyAlignment="1" applyBorder="1" applyFont="1" applyNumberFormat="1">
      <alignment horizontal="right" shrinkToFit="0" vertical="center" wrapText="0"/>
    </xf>
    <xf borderId="1" fillId="0" fontId="6" numFmtId="0" xfId="0" applyAlignment="1" applyBorder="1" applyFont="1">
      <alignment shrinkToFit="0" vertical="center" wrapText="0"/>
    </xf>
    <xf borderId="14" fillId="2" fontId="6" numFmtId="0" xfId="0" applyAlignment="1" applyBorder="1" applyFill="1" applyFont="1">
      <alignment shrinkToFit="0" vertical="center" wrapText="0"/>
    </xf>
    <xf borderId="1" fillId="0" fontId="8" numFmtId="167" xfId="0" applyAlignment="1" applyBorder="1" applyFont="1" applyNumberFormat="1">
      <alignment horizontal="right" shrinkToFit="0" vertical="center" wrapText="0"/>
    </xf>
    <xf borderId="1" fillId="0" fontId="6" numFmtId="167" xfId="0" applyAlignment="1" applyBorder="1" applyFont="1" applyNumberFormat="1">
      <alignment horizontal="right" shrinkToFit="0" vertical="center" wrapText="0"/>
    </xf>
    <xf borderId="2" fillId="0" fontId="6" numFmtId="167" xfId="0" applyAlignment="1" applyBorder="1" applyFont="1" applyNumberFormat="1">
      <alignment horizontal="right" shrinkToFit="0" vertical="center" wrapText="0"/>
    </xf>
    <xf borderId="9" fillId="0" fontId="3" numFmtId="0" xfId="0" applyAlignment="1" applyBorder="1" applyFont="1">
      <alignment shrinkToFit="0" vertical="center" wrapText="0"/>
    </xf>
    <xf borderId="15" fillId="2" fontId="3" numFmtId="0" xfId="0" applyAlignment="1" applyBorder="1" applyFill="1" applyFont="1">
      <alignment shrinkToFit="0" vertical="center" wrapText="0"/>
    </xf>
    <xf borderId="3" fillId="0" fontId="3" numFmtId="0" xfId="0" applyAlignment="1" applyBorder="1" applyFont="1">
      <alignment shrinkToFit="0" vertical="center" wrapText="0"/>
    </xf>
    <xf borderId="3" fillId="0" fontId="5" numFmtId="0" xfId="0" applyBorder="1" applyFont="1"/>
    <xf borderId="16" fillId="0" fontId="5" numFmtId="0" xfId="0" applyBorder="1" applyFont="1"/>
    <xf borderId="1" fillId="0" fontId="10" numFmtId="167" xfId="0" applyAlignment="1" applyBorder="1" applyFont="1" applyNumberFormat="1">
      <alignment horizontal="right" readingOrder="0" shrinkToFit="0" vertical="center" wrapText="0"/>
    </xf>
    <xf borderId="0" fillId="0" fontId="11" numFmtId="0" xfId="0" applyAlignment="1" applyFont="1">
      <alignment shrinkToFit="0" vertical="center" wrapText="1"/>
    </xf>
    <xf borderId="17" fillId="2" fontId="3" numFmtId="0" xfId="0" applyAlignment="1" applyBorder="1" applyFill="1" applyFont="1">
      <alignment shrinkToFit="0" vertical="center" wrapText="0"/>
    </xf>
    <xf borderId="6" fillId="0" fontId="5" numFmtId="0" xfId="0" applyBorder="1" applyFont="1"/>
    <xf borderId="18" fillId="0" fontId="5" numFmtId="0" xfId="0" applyBorder="1" applyFont="1"/>
    <xf borderId="0" fillId="0" fontId="3" numFmtId="167" xfId="0" applyAlignment="1" applyFont="1" applyNumberFormat="1">
      <alignment shrinkToFit="0" vertical="center" wrapText="0"/>
    </xf>
    <xf borderId="1" fillId="2" fontId="7" numFmtId="0" xfId="0" applyAlignment="1" applyBorder="1" applyFill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168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7" fillId="2" fontId="3" numFmtId="0" xfId="0" applyAlignment="1" applyBorder="1" applyFill="1" applyFont="1">
      <alignment shrinkToFit="0" vertical="center" wrapText="0"/>
    </xf>
    <xf borderId="1" fillId="3" fontId="7" numFmtId="0" xfId="0" applyAlignment="1" applyBorder="1" applyFill="1" applyFont="1">
      <alignment horizontal="center" shrinkToFit="0" vertical="center" wrapText="0"/>
    </xf>
    <xf borderId="1" fillId="0" fontId="3" numFmtId="169" xfId="0" applyAlignment="1" applyBorder="1" applyFont="1" applyNumberFormat="1">
      <alignment horizontal="center" shrinkToFit="0" vertical="center" wrapText="0"/>
    </xf>
    <xf borderId="3" fillId="0" fontId="12" numFmtId="0" xfId="0" applyAlignment="1" applyBorder="1" applyFont="1">
      <alignment readingOrder="0" shrinkToFit="0" vertical="center" wrapText="0"/>
    </xf>
    <xf borderId="1" fillId="0" fontId="3" numFmtId="170" xfId="0" applyAlignment="1" applyBorder="1" applyFont="1" applyNumberFormat="1">
      <alignment horizontal="center" shrinkToFit="0" vertical="center" wrapText="0"/>
    </xf>
    <xf borderId="19" fillId="4" fontId="13" numFmtId="0" xfId="0" applyAlignment="1" applyBorder="1" applyFill="1" applyFont="1">
      <alignment shrinkToFit="0" vertical="center" wrapText="0"/>
    </xf>
    <xf borderId="19" fillId="4" fontId="14" numFmtId="0" xfId="0" applyAlignment="1" applyBorder="1" applyFill="1" applyFont="1">
      <alignment shrinkToFit="0" vertical="center" wrapText="1"/>
    </xf>
    <xf borderId="19" fillId="4" fontId="14" numFmtId="0" xfId="0" applyAlignment="1" applyBorder="1" applyFill="1" applyFont="1">
      <alignment shrinkToFit="0" vertical="center" wrapText="0"/>
    </xf>
    <xf borderId="19" fillId="4" fontId="15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/>
    </xf>
    <xf borderId="1" fillId="0" fontId="9" numFmtId="14" xfId="0" applyAlignment="1" applyBorder="1" applyFont="1" applyNumberFormat="1">
      <alignment horizontal="center" readingOrder="0"/>
    </xf>
    <xf borderId="0" fillId="0" fontId="6" numFmtId="0" xfId="0" applyAlignment="1" applyFont="1">
      <alignment horizontal="right" shrinkToFit="0" vertical="center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5qgpU1IMvTUzw6IsW9ZuJY8rmcqdUKUlmD8bXTpmrg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28.0"/>
    <col customWidth="1" min="3" max="3" width="27.63"/>
    <col customWidth="1" min="4" max="4" width="28.25"/>
    <col customWidth="1" min="5" max="5" width="21.75"/>
    <col customWidth="1" min="6" max="6" width="12.63"/>
    <col customWidth="1" min="7" max="26" width="8.0"/>
  </cols>
  <sheetData>
    <row r="1" ht="15.75" customHeight="1">
      <c r="A1" s="1"/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2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5" t="s">
        <v>3</v>
      </c>
      <c r="B5" s="7" t="s">
        <v>5</v>
      </c>
      <c r="C5" s="12"/>
      <c r="D5" s="10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5" t="s">
        <v>9</v>
      </c>
      <c r="B6" s="7" t="s">
        <v>17</v>
      </c>
      <c r="C6" s="12"/>
      <c r="D6" s="10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5" t="s">
        <v>14</v>
      </c>
      <c r="B7" s="7" t="s">
        <v>22</v>
      </c>
      <c r="C7" s="12"/>
      <c r="D7" s="10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5" t="s">
        <v>24</v>
      </c>
      <c r="B8" s="7" t="s">
        <v>25</v>
      </c>
      <c r="C8" s="12"/>
      <c r="D8" s="10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21" t="s">
        <v>29</v>
      </c>
      <c r="B10" s="22" t="s">
        <v>31</v>
      </c>
      <c r="C10" s="22" t="s">
        <v>31</v>
      </c>
      <c r="D10" s="24" t="s">
        <v>34</v>
      </c>
      <c r="E10" s="3"/>
      <c r="F10" s="2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0"/>
      <c r="B11" s="31" t="s">
        <v>36</v>
      </c>
      <c r="C11" s="31" t="s">
        <v>36</v>
      </c>
      <c r="D11" s="34"/>
      <c r="E11" s="3"/>
      <c r="F11" s="2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6"/>
      <c r="B12" s="38" t="s">
        <v>38</v>
      </c>
      <c r="C12" s="39" t="s">
        <v>38</v>
      </c>
      <c r="D12" s="3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40" t="s">
        <v>39</v>
      </c>
      <c r="B13" s="42">
        <v>0.0</v>
      </c>
      <c r="C13" s="43">
        <v>0.0</v>
      </c>
      <c r="D13" s="24" t="s">
        <v>40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0" t="s">
        <v>42</v>
      </c>
      <c r="B14" s="42">
        <v>0.0</v>
      </c>
      <c r="C14" s="43">
        <v>0.0</v>
      </c>
      <c r="D14" s="24" t="s">
        <v>43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48" t="s">
        <v>44</v>
      </c>
      <c r="B15" s="45">
        <v>0.0</v>
      </c>
      <c r="C15" s="50">
        <v>0.0</v>
      </c>
      <c r="D15" s="24" t="s">
        <v>46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48" t="s">
        <v>47</v>
      </c>
      <c r="B16" s="45">
        <v>0.0</v>
      </c>
      <c r="C16" s="50">
        <v>0.0</v>
      </c>
      <c r="D16" s="24" t="s">
        <v>48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48" t="s">
        <v>50</v>
      </c>
      <c r="B17" s="45">
        <v>0.0</v>
      </c>
      <c r="C17" s="50">
        <v>0.0</v>
      </c>
      <c r="D17" s="24" t="s">
        <v>51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52" t="s">
        <v>49</v>
      </c>
      <c r="B18" s="54">
        <f t="shared" ref="B18:C18" si="1">B13+B14-B15-B16-B17</f>
        <v>0</v>
      </c>
      <c r="C18" s="55">
        <f t="shared" si="1"/>
        <v>0</v>
      </c>
      <c r="D18" s="5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57" t="s">
        <v>53</v>
      </c>
      <c r="B20" s="58"/>
      <c r="C20" s="59"/>
      <c r="D20" s="59"/>
      <c r="E20" s="60"/>
      <c r="F20" s="62" t="s">
        <v>55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63"/>
      <c r="B21" s="64"/>
      <c r="C21" s="64"/>
      <c r="D21" s="64"/>
      <c r="E21" s="65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67" t="s">
        <v>59</v>
      </c>
      <c r="B23" s="67" t="s">
        <v>60</v>
      </c>
      <c r="C23" s="67" t="s">
        <v>61</v>
      </c>
      <c r="D23" s="67" t="s">
        <v>62</v>
      </c>
      <c r="E23" s="67" t="s">
        <v>64</v>
      </c>
      <c r="F23" s="20"/>
      <c r="G23" s="3"/>
      <c r="H23" s="20"/>
      <c r="I23" s="3"/>
      <c r="J23" s="20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68"/>
      <c r="B24" s="68"/>
      <c r="C24" s="68"/>
      <c r="D24" s="69"/>
      <c r="E24" s="41"/>
      <c r="F24" s="11" t="s">
        <v>68</v>
      </c>
      <c r="G24" s="3"/>
      <c r="H24" s="70"/>
      <c r="I24" s="3"/>
      <c r="J24" s="20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68"/>
      <c r="B25" s="68"/>
      <c r="C25" s="68"/>
      <c r="D25" s="69"/>
      <c r="E25" s="41"/>
      <c r="F25" s="11" t="s">
        <v>69</v>
      </c>
      <c r="G25" s="3"/>
      <c r="H25" s="70"/>
      <c r="I25" s="3"/>
      <c r="J25" s="20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68"/>
      <c r="B26" s="68"/>
      <c r="C26" s="68"/>
      <c r="D26" s="69"/>
      <c r="E26" s="41"/>
      <c r="F26" s="11" t="s">
        <v>70</v>
      </c>
      <c r="G26" s="3"/>
      <c r="H26" s="70"/>
      <c r="I26" s="3"/>
      <c r="J26" s="20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72" t="s">
        <v>72</v>
      </c>
      <c r="B27" s="72" t="s">
        <v>60</v>
      </c>
      <c r="C27" s="72" t="s">
        <v>74</v>
      </c>
      <c r="D27" s="72" t="s">
        <v>62</v>
      </c>
      <c r="E27" s="72" t="s">
        <v>64</v>
      </c>
      <c r="F27" s="11"/>
      <c r="G27" s="3"/>
      <c r="H27" s="3"/>
      <c r="I27" s="3"/>
      <c r="J27" s="20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68"/>
      <c r="B28" s="68" t="s">
        <v>76</v>
      </c>
      <c r="C28" s="68"/>
      <c r="D28" s="73"/>
      <c r="E28" s="41"/>
      <c r="F28" s="11" t="s">
        <v>78</v>
      </c>
      <c r="G28" s="3"/>
      <c r="H28" s="3"/>
      <c r="I28" s="3"/>
      <c r="J28" s="20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76" t="s">
        <v>82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77" t="s">
        <v>83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78" t="s">
        <v>84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5.5" customHeight="1">
      <c r="A34" s="79" t="s">
        <v>89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77" t="s">
        <v>92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D3"/>
    <mergeCell ref="A10:A12"/>
    <mergeCell ref="B20:E21"/>
    <mergeCell ref="F20:H21"/>
  </mergeCells>
  <dataValidations>
    <dataValidation type="list" allowBlank="1" sqref="C25:C26 C28">
      <formula1>"Confirmed"</formula1>
    </dataValidation>
    <dataValidation type="list" allowBlank="1" sqref="C24">
      <formula1>"Submitted"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28.0"/>
    <col customWidth="1" min="3" max="3" width="27.63"/>
    <col customWidth="1" min="4" max="4" width="28.25"/>
    <col customWidth="1" min="5" max="5" width="21.75"/>
    <col customWidth="1" min="6" max="6" width="12.63"/>
    <col customWidth="1" min="7" max="26" width="8.0"/>
  </cols>
  <sheetData>
    <row r="1" ht="15.75" customHeight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2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5" t="s">
        <v>11</v>
      </c>
      <c r="B5" s="13" t="s">
        <v>13</v>
      </c>
      <c r="C5" s="14"/>
      <c r="D5" s="15"/>
      <c r="E5" s="11" t="s">
        <v>16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5" t="s">
        <v>9</v>
      </c>
      <c r="B6" s="13" t="s">
        <v>21</v>
      </c>
      <c r="C6" s="14"/>
      <c r="D6" s="15"/>
      <c r="E6" s="11" t="s">
        <v>23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5" t="s">
        <v>14</v>
      </c>
      <c r="B7" s="13" t="s">
        <v>26</v>
      </c>
      <c r="C7" s="14"/>
      <c r="D7" s="15"/>
      <c r="E7" s="11" t="s">
        <v>28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5" t="s">
        <v>24</v>
      </c>
      <c r="B8" s="13" t="s">
        <v>30</v>
      </c>
      <c r="C8" s="14"/>
      <c r="D8" s="15"/>
      <c r="E8" s="11" t="s">
        <v>32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21" t="s">
        <v>29</v>
      </c>
      <c r="B10" s="27" t="s">
        <v>37</v>
      </c>
      <c r="C10" s="22" t="s">
        <v>31</v>
      </c>
      <c r="D10" s="37"/>
      <c r="E10" s="3"/>
      <c r="F10" s="2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0"/>
      <c r="B11" s="33">
        <v>5.2001211E7</v>
      </c>
      <c r="C11" s="31" t="s">
        <v>36</v>
      </c>
      <c r="D11" s="37"/>
      <c r="E11" s="3"/>
      <c r="F11" s="2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6"/>
      <c r="B12" s="38" t="s">
        <v>38</v>
      </c>
      <c r="C12" s="39" t="s">
        <v>38</v>
      </c>
      <c r="D12" s="37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40" t="s">
        <v>39</v>
      </c>
      <c r="B13" s="42">
        <v>1.6495983E7</v>
      </c>
      <c r="C13" s="43">
        <v>0.0</v>
      </c>
      <c r="D13" s="24" t="s">
        <v>40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0" t="s">
        <v>42</v>
      </c>
      <c r="B14" s="42">
        <v>1000000.0</v>
      </c>
      <c r="C14" s="43">
        <v>0.0</v>
      </c>
      <c r="D14" s="24" t="s">
        <v>43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48" t="s">
        <v>44</v>
      </c>
      <c r="B15" s="45">
        <v>1374665.0</v>
      </c>
      <c r="C15" s="50">
        <v>0.0</v>
      </c>
      <c r="D15" s="24" t="s">
        <v>46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48" t="s">
        <v>47</v>
      </c>
      <c r="B16" s="45">
        <v>0.0</v>
      </c>
      <c r="C16" s="50">
        <v>0.0</v>
      </c>
      <c r="D16" s="24" t="s">
        <v>48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48" t="s">
        <v>50</v>
      </c>
      <c r="B17" s="45">
        <v>500000.0</v>
      </c>
      <c r="C17" s="50">
        <v>0.0</v>
      </c>
      <c r="D17" s="24" t="s">
        <v>51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52" t="s">
        <v>49</v>
      </c>
      <c r="B18" s="54">
        <f t="shared" ref="B18:C18" si="1">B13+B14-B15-B16-B17</f>
        <v>15621318</v>
      </c>
      <c r="C18" s="54">
        <f t="shared" si="1"/>
        <v>0</v>
      </c>
      <c r="D18" s="5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57" t="s">
        <v>63</v>
      </c>
      <c r="B20" s="58"/>
      <c r="C20" s="59"/>
      <c r="D20" s="59"/>
      <c r="E20" s="60"/>
      <c r="F20" s="62" t="s">
        <v>66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63"/>
      <c r="B21" s="64"/>
      <c r="C21" s="64"/>
      <c r="D21" s="64"/>
      <c r="E21" s="65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67" t="s">
        <v>59</v>
      </c>
      <c r="B23" s="67" t="s">
        <v>60</v>
      </c>
      <c r="C23" s="67" t="s">
        <v>61</v>
      </c>
      <c r="D23" s="67" t="s">
        <v>62</v>
      </c>
      <c r="E23" s="67" t="s">
        <v>64</v>
      </c>
      <c r="F23" s="20"/>
      <c r="G23" s="3"/>
      <c r="H23" s="20"/>
      <c r="I23" s="3"/>
      <c r="J23" s="20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68" t="s">
        <v>79</v>
      </c>
      <c r="B24" s="68" t="s">
        <v>80</v>
      </c>
      <c r="C24" s="68" t="s">
        <v>81</v>
      </c>
      <c r="D24" s="75">
        <v>45658.0</v>
      </c>
      <c r="E24" s="41"/>
      <c r="F24" s="11" t="s">
        <v>68</v>
      </c>
      <c r="G24" s="3"/>
      <c r="H24" s="70"/>
      <c r="I24" s="3"/>
      <c r="J24" s="20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68" t="s">
        <v>79</v>
      </c>
      <c r="B25" s="68" t="s">
        <v>80</v>
      </c>
      <c r="C25" s="68" t="s">
        <v>87</v>
      </c>
      <c r="D25" s="75">
        <v>45658.0</v>
      </c>
      <c r="E25" s="41"/>
      <c r="F25" s="11" t="s">
        <v>88</v>
      </c>
      <c r="G25" s="3"/>
      <c r="H25" s="70"/>
      <c r="I25" s="3"/>
      <c r="J25" s="20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68" t="s">
        <v>93</v>
      </c>
      <c r="B26" s="68" t="s">
        <v>94</v>
      </c>
      <c r="C26" s="68" t="s">
        <v>87</v>
      </c>
      <c r="D26" s="75">
        <v>45658.0</v>
      </c>
      <c r="E26" s="41"/>
      <c r="F26" s="11" t="s">
        <v>97</v>
      </c>
      <c r="G26" s="3"/>
      <c r="H26" s="70"/>
      <c r="I26" s="3"/>
      <c r="J26" s="20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72" t="s">
        <v>72</v>
      </c>
      <c r="B27" s="72" t="s">
        <v>60</v>
      </c>
      <c r="C27" s="72" t="s">
        <v>74</v>
      </c>
      <c r="D27" s="72" t="s">
        <v>62</v>
      </c>
      <c r="E27" s="72" t="s">
        <v>64</v>
      </c>
      <c r="F27" s="11"/>
      <c r="G27" s="3"/>
      <c r="H27" s="3"/>
      <c r="I27" s="3"/>
      <c r="J27" s="20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68" t="s">
        <v>100</v>
      </c>
      <c r="B28" s="68" t="s">
        <v>76</v>
      </c>
      <c r="C28" s="68" t="s">
        <v>87</v>
      </c>
      <c r="D28" s="75">
        <v>45658.0</v>
      </c>
      <c r="E28" s="41"/>
      <c r="F28" s="11" t="s">
        <v>78</v>
      </c>
      <c r="G28" s="3"/>
      <c r="H28" s="3"/>
      <c r="I28" s="3"/>
      <c r="J28" s="20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:D3"/>
    <mergeCell ref="B5:D5"/>
    <mergeCell ref="B6:D6"/>
    <mergeCell ref="B7:D7"/>
    <mergeCell ref="B8:D8"/>
    <mergeCell ref="A10:A12"/>
    <mergeCell ref="B20:E21"/>
    <mergeCell ref="F20:H21"/>
  </mergeCells>
  <dataValidations>
    <dataValidation type="list" allowBlank="1" sqref="C25:C26 C28">
      <formula1>"Confirmed"</formula1>
    </dataValidation>
    <dataValidation type="list" allowBlank="1" sqref="C24">
      <formula1>"Submitted"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27.88"/>
    <col customWidth="1" min="3" max="3" width="27.63"/>
    <col customWidth="1" min="4" max="4" width="27.75"/>
    <col customWidth="1" min="5" max="5" width="25.75"/>
    <col customWidth="1" min="6" max="6" width="12.63"/>
    <col customWidth="1" min="7" max="26" width="8.0"/>
  </cols>
  <sheetData>
    <row r="1" ht="15.75" customHeight="1">
      <c r="A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 t="s">
        <v>4</v>
      </c>
      <c r="B3" s="8" t="s">
        <v>6</v>
      </c>
      <c r="C3" s="9"/>
      <c r="D3" s="10"/>
      <c r="E3" s="11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5" t="s">
        <v>9</v>
      </c>
      <c r="B4" s="8" t="s">
        <v>10</v>
      </c>
      <c r="C4" s="12"/>
      <c r="D4" s="10"/>
      <c r="E4" s="11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5" t="s">
        <v>14</v>
      </c>
      <c r="B5" s="16">
        <v>435000.0</v>
      </c>
      <c r="C5" s="14"/>
      <c r="D5" s="15"/>
      <c r="E5" s="1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5" t="s">
        <v>18</v>
      </c>
      <c r="B6" s="8" t="s">
        <v>19</v>
      </c>
      <c r="C6" s="18"/>
      <c r="D6" s="10"/>
      <c r="E6" s="11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9" t="s">
        <v>27</v>
      </c>
      <c r="B8" s="2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1" t="s">
        <v>29</v>
      </c>
      <c r="B9" s="23" t="s">
        <v>33</v>
      </c>
      <c r="C9" s="25" t="s">
        <v>33</v>
      </c>
      <c r="D9" s="3"/>
      <c r="E9" s="26"/>
      <c r="F9" s="29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0"/>
      <c r="B10" s="32">
        <v>5.2001201E7</v>
      </c>
      <c r="C10" s="35">
        <v>5.2001201E7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6"/>
      <c r="B11" s="38" t="s">
        <v>38</v>
      </c>
      <c r="C11" s="38" t="s">
        <v>38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41" t="s">
        <v>39</v>
      </c>
      <c r="B12" s="44">
        <v>7200000.0</v>
      </c>
      <c r="C12" s="45"/>
      <c r="D12" s="4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41" t="s">
        <v>42</v>
      </c>
      <c r="B13" s="47"/>
      <c r="C13" s="45"/>
      <c r="D13" s="2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1" t="s">
        <v>44</v>
      </c>
      <c r="B14" s="44">
        <v>4614800.0</v>
      </c>
      <c r="C14" s="45"/>
      <c r="D14" s="4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41" t="s">
        <v>47</v>
      </c>
      <c r="B15" s="47"/>
      <c r="C15" s="45"/>
      <c r="D15" s="49">
        <v>0.0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51" t="s">
        <v>49</v>
      </c>
      <c r="B16" s="53">
        <f t="shared" ref="B16:C16" si="1">B12+B13-B14-B15</f>
        <v>2585200</v>
      </c>
      <c r="C16" s="54">
        <f t="shared" si="1"/>
        <v>0</v>
      </c>
      <c r="D16" s="3"/>
      <c r="E16" s="20"/>
      <c r="F16" s="2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20"/>
      <c r="B17" s="20"/>
      <c r="C17" s="3"/>
      <c r="D17" s="3"/>
      <c r="E17" s="20"/>
      <c r="F17" s="28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 t="s">
        <v>52</v>
      </c>
      <c r="C18" s="3"/>
      <c r="D18" s="3"/>
      <c r="E18" s="3"/>
      <c r="F18" s="2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1" t="s">
        <v>29</v>
      </c>
      <c r="B19" s="23" t="s">
        <v>33</v>
      </c>
      <c r="C19" s="23" t="s">
        <v>33</v>
      </c>
      <c r="D19" s="56"/>
      <c r="E19" s="3"/>
      <c r="F19" s="28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0"/>
      <c r="B20" s="32">
        <v>5.2001201E7</v>
      </c>
      <c r="C20" s="32">
        <v>5.2001201E7</v>
      </c>
      <c r="D20" s="56"/>
      <c r="E20" s="3"/>
      <c r="F20" s="2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6"/>
      <c r="B21" s="38" t="s">
        <v>38</v>
      </c>
      <c r="C21" s="38" t="s">
        <v>38</v>
      </c>
      <c r="D21" s="5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1" t="s">
        <v>54</v>
      </c>
      <c r="B22" s="61">
        <v>1600000.0</v>
      </c>
      <c r="C22" s="45"/>
      <c r="D22" s="4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1" t="s">
        <v>56</v>
      </c>
      <c r="B23" s="61"/>
      <c r="C23" s="45"/>
      <c r="D23" s="2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1" t="s">
        <v>47</v>
      </c>
      <c r="B24" s="61"/>
      <c r="C24" s="45"/>
      <c r="D24" s="24"/>
      <c r="E24" s="3"/>
      <c r="F24" s="3"/>
      <c r="G24" s="3"/>
      <c r="H24" s="3"/>
      <c r="I24" s="3"/>
      <c r="J24" s="3"/>
      <c r="K24" s="3"/>
      <c r="L24" s="3"/>
      <c r="M24" s="66">
        <f>B22-B23</f>
        <v>1600000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1" t="s">
        <v>50</v>
      </c>
      <c r="B25" s="61">
        <f>B5</f>
        <v>435000</v>
      </c>
      <c r="C25" s="45"/>
      <c r="D25" s="2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51" t="s">
        <v>67</v>
      </c>
      <c r="B26" s="53">
        <f>B22-B23-B24-B25</f>
        <v>1165000</v>
      </c>
      <c r="C26" s="54">
        <f>C22+C23-C24-C25</f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71" t="s">
        <v>71</v>
      </c>
      <c r="B28" s="74" t="s">
        <v>73</v>
      </c>
      <c r="C28" s="59"/>
      <c r="D28" s="59"/>
      <c r="E28" s="60"/>
      <c r="F28" s="6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0" customHeight="1">
      <c r="A29" s="36"/>
      <c r="B29" s="64"/>
      <c r="C29" s="64"/>
      <c r="D29" s="64"/>
      <c r="E29" s="65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7" t="s">
        <v>59</v>
      </c>
      <c r="B31" s="67" t="s">
        <v>60</v>
      </c>
      <c r="C31" s="67" t="s">
        <v>61</v>
      </c>
      <c r="D31" s="67" t="s">
        <v>62</v>
      </c>
      <c r="E31" s="67" t="s">
        <v>64</v>
      </c>
      <c r="F31" s="20"/>
      <c r="G31" s="3"/>
      <c r="H31" s="20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0" t="s">
        <v>90</v>
      </c>
      <c r="B32" s="80" t="s">
        <v>91</v>
      </c>
      <c r="C32" s="81" t="s">
        <v>81</v>
      </c>
      <c r="D32" s="82">
        <v>46305.0</v>
      </c>
      <c r="E32" s="41"/>
      <c r="F32" s="11"/>
      <c r="G32" s="3"/>
      <c r="H32" s="70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80" t="s">
        <v>99</v>
      </c>
      <c r="B33" s="80" t="s">
        <v>96</v>
      </c>
      <c r="C33" s="81" t="s">
        <v>87</v>
      </c>
      <c r="D33" s="82">
        <v>46321.0</v>
      </c>
      <c r="E33" s="41"/>
      <c r="F33" s="11"/>
      <c r="G33" s="3"/>
      <c r="H33" s="70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84"/>
      <c r="B35" s="3"/>
      <c r="C35" s="8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8">
    <mergeCell ref="A1:D1"/>
    <mergeCell ref="B5:D5"/>
    <mergeCell ref="A9:A11"/>
    <mergeCell ref="A18:B18"/>
    <mergeCell ref="A19:A21"/>
    <mergeCell ref="A28:A29"/>
    <mergeCell ref="B28:E29"/>
    <mergeCell ref="F28:H29"/>
  </mergeCells>
  <dataValidations>
    <dataValidation type="list" allowBlank="1" sqref="C33">
      <formula1>"Confirmed"</formula1>
    </dataValidation>
    <dataValidation type="list" allowBlank="1" sqref="C32">
      <formula1>"Submitted"</formula1>
    </dataValidation>
    <dataValidation type="custom" allowBlank="1" showDropDown="1" sqref="D32:D33">
      <formula1>OR(NOT(ISERROR(DATEVALUE(D32))), AND(ISNUMBER(D32), LEFT(CELL("format", D32))="D"))</formula1>
    </dataValidation>
  </dataValidations>
  <hyperlinks>
    <hyperlink r:id="rId1" ref="B28"/>
  </hyperlinks>
  <printOptions/>
  <pageMargins bottom="0.75" footer="0.0" header="0.0" left="0.7" right="0.7" top="0.75"/>
  <pageSetup fitToHeight="0" paperSize="9"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27.88"/>
    <col customWidth="1" min="3" max="3" width="27.63"/>
    <col customWidth="1" min="4" max="4" width="27.75"/>
    <col customWidth="1" min="5" max="5" width="25.75"/>
    <col customWidth="1" min="6" max="6" width="12.63"/>
    <col customWidth="1" min="7" max="26" width="8.0"/>
  </cols>
  <sheetData>
    <row r="1" ht="15.75" customHeight="1">
      <c r="A1" s="4" t="s">
        <v>1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2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5" t="s">
        <v>7</v>
      </c>
      <c r="B5" s="7" t="s">
        <v>8</v>
      </c>
      <c r="C5" s="9"/>
      <c r="D5" s="10"/>
      <c r="E5" s="1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5" t="s">
        <v>9</v>
      </c>
      <c r="B6" s="7" t="s">
        <v>12</v>
      </c>
      <c r="C6" s="12"/>
      <c r="D6" s="10"/>
      <c r="E6" s="11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5" t="s">
        <v>14</v>
      </c>
      <c r="B7" s="17" t="s">
        <v>15</v>
      </c>
      <c r="C7" s="14"/>
      <c r="D7" s="15"/>
      <c r="E7" s="11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5" t="s">
        <v>18</v>
      </c>
      <c r="B8" s="7" t="s">
        <v>20</v>
      </c>
      <c r="C8" s="18"/>
      <c r="D8" s="10"/>
      <c r="E8" s="11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9" t="s">
        <v>27</v>
      </c>
      <c r="B11" s="2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21" t="s">
        <v>29</v>
      </c>
      <c r="B12" s="27" t="s">
        <v>35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0"/>
      <c r="B13" s="33">
        <v>5.2001203E7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6"/>
      <c r="B14" s="38" t="s">
        <v>38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41" t="s">
        <v>39</v>
      </c>
      <c r="B15" s="45">
        <v>1.4114134E7</v>
      </c>
      <c r="C15" s="46" t="s">
        <v>41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41" t="s">
        <v>42</v>
      </c>
      <c r="B16" s="45">
        <v>0.0</v>
      </c>
      <c r="C16" s="24" t="s">
        <v>45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41" t="s">
        <v>44</v>
      </c>
      <c r="B17" s="45">
        <v>1.1361604E7</v>
      </c>
      <c r="C17" s="46" t="s">
        <v>46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41" t="s">
        <v>47</v>
      </c>
      <c r="B18" s="45">
        <v>0.0</v>
      </c>
      <c r="C18" s="46" t="s">
        <v>48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51" t="s">
        <v>49</v>
      </c>
      <c r="B19" s="54">
        <f>B15+B16-B17-B18</f>
        <v>2752530</v>
      </c>
      <c r="C19" s="3"/>
      <c r="D19" s="20"/>
      <c r="E19" s="20"/>
      <c r="F19" s="28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20"/>
      <c r="B20" s="20"/>
      <c r="C20" s="3"/>
      <c r="D20" s="20"/>
      <c r="E20" s="20"/>
      <c r="F20" s="2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9" t="s">
        <v>52</v>
      </c>
      <c r="C21" s="3"/>
      <c r="D21" s="3"/>
      <c r="E21" s="3"/>
      <c r="F21" s="28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1" t="s">
        <v>29</v>
      </c>
      <c r="B22" s="22" t="s">
        <v>35</v>
      </c>
      <c r="C22" s="56"/>
      <c r="D22" s="3"/>
      <c r="E22" s="3"/>
      <c r="F22" s="2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0"/>
      <c r="B23" s="31">
        <v>5.2001203E7</v>
      </c>
      <c r="C23" s="56"/>
      <c r="D23" s="3"/>
      <c r="E23" s="3"/>
      <c r="F23" s="28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6"/>
      <c r="B24" s="39" t="s">
        <v>38</v>
      </c>
      <c r="C24" s="5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1" t="s">
        <v>54</v>
      </c>
      <c r="B25" s="45">
        <v>1700000.0</v>
      </c>
      <c r="C25" s="46" t="s">
        <v>57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1" t="s">
        <v>56</v>
      </c>
      <c r="B26" s="45">
        <v>1400000.0</v>
      </c>
      <c r="C26" s="24" t="s">
        <v>58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1" t="s">
        <v>47</v>
      </c>
      <c r="B27" s="45">
        <v>0.0</v>
      </c>
      <c r="C27" s="24" t="s">
        <v>65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1" t="s">
        <v>50</v>
      </c>
      <c r="B28" s="50">
        <v>200000.0</v>
      </c>
      <c r="C28" s="24" t="s">
        <v>51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1" t="s">
        <v>67</v>
      </c>
      <c r="B29" s="55">
        <f>B25-B26-B27-B28</f>
        <v>100000</v>
      </c>
      <c r="C29" s="56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71" t="s">
        <v>75</v>
      </c>
      <c r="B31" s="58"/>
      <c r="C31" s="59"/>
      <c r="D31" s="59"/>
      <c r="E31" s="60"/>
      <c r="F31" s="62" t="s">
        <v>77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6"/>
      <c r="B32" s="64"/>
      <c r="C32" s="64"/>
      <c r="D32" s="64"/>
      <c r="E32" s="65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67" t="s">
        <v>59</v>
      </c>
      <c r="B34" s="67" t="s">
        <v>60</v>
      </c>
      <c r="C34" s="67" t="s">
        <v>61</v>
      </c>
      <c r="D34" s="67" t="s">
        <v>62</v>
      </c>
      <c r="E34" s="67" t="s">
        <v>64</v>
      </c>
      <c r="F34" s="20"/>
      <c r="G34" s="3"/>
      <c r="H34" s="20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68" t="s">
        <v>85</v>
      </c>
      <c r="B35" s="68" t="s">
        <v>86</v>
      </c>
      <c r="C35" s="68" t="s">
        <v>81</v>
      </c>
      <c r="D35" s="69">
        <v>45658.0</v>
      </c>
      <c r="E35" s="41"/>
      <c r="F35" s="11" t="s">
        <v>68</v>
      </c>
      <c r="G35" s="3"/>
      <c r="H35" s="70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68" t="s">
        <v>95</v>
      </c>
      <c r="B36" s="68" t="s">
        <v>96</v>
      </c>
      <c r="C36" s="68" t="s">
        <v>87</v>
      </c>
      <c r="D36" s="69">
        <v>45658.0</v>
      </c>
      <c r="E36" s="41"/>
      <c r="F36" s="11" t="s">
        <v>98</v>
      </c>
      <c r="G36" s="3"/>
      <c r="H36" s="70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8"/>
      <c r="B38" s="3"/>
      <c r="C38" s="8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:D3"/>
    <mergeCell ref="B7:D7"/>
    <mergeCell ref="A12:A14"/>
    <mergeCell ref="A21:B21"/>
    <mergeCell ref="A22:A24"/>
    <mergeCell ref="A31:A32"/>
    <mergeCell ref="B31:E32"/>
    <mergeCell ref="F31:H32"/>
  </mergeCells>
  <dataValidations>
    <dataValidation type="list" allowBlank="1" sqref="C36">
      <formula1>"Confirmed"</formula1>
    </dataValidation>
    <dataValidation type="list" allowBlank="1" sqref="C35">
      <formula1>"Submitted"</formula1>
    </dataValidation>
  </dataValidations>
  <printOptions/>
  <pageMargins bottom="0.75" footer="0.0" header="0.0" left="0.7" right="0.7" top="0.75"/>
  <pageSetup orientation="landscape"/>
  <drawing r:id="rId1"/>
</worksheet>
</file>